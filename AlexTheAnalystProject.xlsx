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Prerna Shukla\Documents\Data Analytics\"/>
    </mc:Choice>
  </mc:AlternateContent>
  <xr:revisionPtr revIDLastSave="0" documentId="8_{98703EF5-BD01-43FD-9793-338ABEC32627}" xr6:coauthVersionLast="47" xr6:coauthVersionMax="47" xr10:uidLastSave="{00000000-0000-0000-0000-000000000000}"/>
  <bookViews>
    <workbookView xWindow="-110" yWindow="-110" windowWidth="19420" windowHeight="115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<sst xmlns="http://schemas.openxmlformats.org/spreadsheetml/2006/main" count="16267" uniqueCount="51">
  <si>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</si>
  <si>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</si>
  <si>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</si>
  <si>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</si>
  <si>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</si>
  <si>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</si>
  <si>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</si>
  <si>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</si>
  <si>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</si>
  <si>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</si>
  <si>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</si>
  <si>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</si>
  <si>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</si>
  <si>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</si>
  <si>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</si>
  <si>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</si>
  <si>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</si>
  <si>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</si>
  <si>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</si>
  <si>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</si>
  <si>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</si>
  <si>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</si>
  <si>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</si>
  <si>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</si>
  <si>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</si>
  <si>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</si>
  <si>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</si>
  <si>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</si>
  <si>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</si>
  <si>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</si>
  <si>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</si>
  <si>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</si>
  <si>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</si>
  <si>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</si>
  <si>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</si>
  <si>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</si>
  <si>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</si>
  <si>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</si>
  <si>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</si>
  <si>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</si>
  <si>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</si>
  <si>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</si>
  <si>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</si>
  <si>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</si>
  <si>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</si>
  <si>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More than 10 miles</t>
  </si>
  <si>
    <t>Count of Purchased Bike</t>
  </si>
  <si>
    <t>Adolescent</t>
  </si>
  <si>
    <t>Middle Aged</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</si>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</sst>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[AlexTheAnalystProject.xlsx]Pivot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a:t>
            </a:r>
            <a:r>
              <a:rPr lang="en-IN" baseline="0"/>
              <a:t>e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43333.333333333336</c:v>
                </c:pt>
                <c:pt idx="1">
                  <c:v>45000</c:v>
                </c:pt>
              </c:numCache>
            </c:numRef>
          </c:val>
          <c:extLst>
            <c:ext xmlns:c16="http://schemas.microsoft.com/office/drawing/2014/chart" uri="{C3380CC4-5D6E-409C-BE32-E72D297353CC}">
              <c16:uniqueId val="{00000000-0B40-499F-BA41-A0C8E67091F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70000</c:v>
                </c:pt>
                <c:pt idx="1">
                  <c:v>45000</c:v>
                </c:pt>
              </c:numCache>
            </c:numRef>
          </c:val>
          <c:extLst>
            <c:ext xmlns:c16="http://schemas.microsoft.com/office/drawing/2014/chart" uri="{C3380CC4-5D6E-409C-BE32-E72D297353CC}">
              <c16:uniqueId val="{00000003-0B40-499F-BA41-A0C8E67091F7}"/>
            </c:ext>
          </c:extLst>
        </c:ser>
        <c:dLbls>
          <c:showLegendKey val="0"/>
          <c:showVal val="0"/>
          <c:showCatName val="0"/>
          <c:showSerName val="0"/>
          <c:showPercent val="0"/>
          <c:showBubbleSize val="0"/>
        </c:dLbls>
        <c:gapWidth val="219"/>
        <c:overlap val="-27"/>
        <c:axId val="497019695"/>
        <c:axId val="332694127"/>
      </c:barChart>
      <c:catAx>
        <c:axId val="49701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94127"/>
        <c:crosses val="autoZero"/>
        <c:auto val="1"/>
        <c:lblAlgn val="ctr"/>
        <c:lblOffset val="100"/>
        <c:noMultiLvlLbl val="0"/>
      </c:catAx>
      <c:valAx>
        <c:axId val="33269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19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[AlexTheAnalystProject.xlsx]Pivot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c:v>
                </c:pt>
                <c:pt idx="1">
                  <c:v>6</c:v>
                </c:pt>
                <c:pt idx="3">
                  <c:v>6</c:v>
                </c:pt>
              </c:numCache>
            </c:numRef>
          </c:val>
          <c:smooth val="0"/>
          <c:extLst>
            <c:ext xmlns:c16="http://schemas.microsoft.com/office/drawing/2014/chart" uri="{C3380CC4-5D6E-409C-BE32-E72D297353CC}">
              <c16:uniqueId val="{00000000-1B07-4E95-A84C-A959656AA73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2">
                  <c:v>1</c:v>
                </c:pt>
                <c:pt idx="3">
                  <c:v>1</c:v>
                </c:pt>
                <c:pt idx="4">
                  <c:v>1</c:v>
                </c:pt>
              </c:numCache>
            </c:numRef>
          </c:val>
          <c:smooth val="0"/>
          <c:extLst>
            <c:ext xmlns:c16="http://schemas.microsoft.com/office/drawing/2014/chart" uri="{C3380CC4-5D6E-409C-BE32-E72D297353CC}">
              <c16:uniqueId val="{00000001-1B07-4E95-A84C-A959656AA73F}"/>
            </c:ext>
          </c:extLst>
        </c:ser>
        <c:dLbls>
          <c:showLegendKey val="0"/>
          <c:showVal val="0"/>
          <c:showCatName val="0"/>
          <c:showSerName val="0"/>
          <c:showPercent val="0"/>
          <c:showBubbleSize val="0"/>
        </c:dLbls>
        <c:smooth val="0"/>
        <c:axId val="632972367"/>
        <c:axId val="632565967"/>
      </c:lineChart>
      <c:catAx>
        <c:axId val="632972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565967"/>
        <c:crosses val="autoZero"/>
        <c:auto val="1"/>
        <c:lblAlgn val="ctr"/>
        <c:lblOffset val="100"/>
        <c:noMultiLvlLbl val="0"/>
      </c:catAx>
      <c:valAx>
        <c:axId val="63256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[AlexTheAnalystProject.xlsx]Pivot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1802092446777486"/>
          <c:w val="0.65269685039370073"/>
          <c:h val="0.65853091280256637"/>
        </c:manualLayout>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Adolescent</c:v>
                </c:pt>
                <c:pt idx="1">
                  <c:v>Middle Aged</c:v>
                </c:pt>
                <c:pt idx="2">
                  <c:v>Old age</c:v>
                </c:pt>
              </c:strCache>
            </c:strRef>
          </c:cat>
          <c:val>
            <c:numRef>
              <c:f>'Pivot Table'!$B$36:$B$39</c:f>
              <c:numCache>
                <c:formatCode>General</c:formatCode>
                <c:ptCount val="3"/>
                <c:pt idx="0">
                  <c:v>6</c:v>
                </c:pt>
                <c:pt idx="1">
                  <c:v>9</c:v>
                </c:pt>
              </c:numCache>
            </c:numRef>
          </c:val>
          <c:smooth val="0"/>
          <c:extLst>
            <c:ext xmlns:c16="http://schemas.microsoft.com/office/drawing/2014/chart" uri="{C3380CC4-5D6E-409C-BE32-E72D297353CC}">
              <c16:uniqueId val="{00000000-DF12-4F17-9B56-5D3F2AB8FDA5}"/>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Adolescent</c:v>
                </c:pt>
                <c:pt idx="1">
                  <c:v>Middle Aged</c:v>
                </c:pt>
                <c:pt idx="2">
                  <c:v>Old age</c:v>
                </c:pt>
              </c:strCache>
            </c:strRef>
          </c:cat>
          <c:val>
            <c:numRef>
              <c:f>'Pivot Table'!$C$36:$C$39</c:f>
              <c:numCache>
                <c:formatCode>General</c:formatCode>
                <c:ptCount val="3"/>
                <c:pt idx="1">
                  <c:v>2</c:v>
                </c:pt>
                <c:pt idx="2">
                  <c:v>1</c:v>
                </c:pt>
              </c:numCache>
            </c:numRef>
          </c:val>
          <c:smooth val="0"/>
          <c:extLst>
            <c:ext xmlns:c16="http://schemas.microsoft.com/office/drawing/2014/chart" uri="{C3380CC4-5D6E-409C-BE32-E72D297353CC}">
              <c16:uniqueId val="{00000001-DF12-4F17-9B56-5D3F2AB8FDA5}"/>
            </c:ext>
          </c:extLst>
        </c:ser>
        <c:dLbls>
          <c:showLegendKey val="0"/>
          <c:showVal val="0"/>
          <c:showCatName val="0"/>
          <c:showSerName val="0"/>
          <c:showPercent val="0"/>
          <c:showBubbleSize val="0"/>
        </c:dLbls>
        <c:smooth val="0"/>
        <c:axId val="632977471"/>
        <c:axId val="632674927"/>
      </c:lineChart>
      <c:catAx>
        <c:axId val="63297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74927"/>
        <c:crosses val="autoZero"/>
        <c:auto val="1"/>
        <c:lblAlgn val="ctr"/>
        <c:lblOffset val="100"/>
        <c:noMultiLvlLbl val="0"/>
      </c:catAx>
      <c:valAx>
        <c:axId val="63267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[AlexTheAnalystProject.xlsx]Pivot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a:t>
            </a:r>
            <a:r>
              <a:rPr lang="en-IN" baseline="0"/>
              <a:t>e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43333.333333333336</c:v>
                </c:pt>
                <c:pt idx="1">
                  <c:v>45000</c:v>
                </c:pt>
              </c:numCache>
            </c:numRef>
          </c:val>
          <c:extLst>
            <c:ext xmlns:c16="http://schemas.microsoft.com/office/drawing/2014/chart" uri="{C3380CC4-5D6E-409C-BE32-E72D297353CC}">
              <c16:uniqueId val="{00000000-CB7E-4E15-B5D1-DB92C0275CF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70000</c:v>
                </c:pt>
                <c:pt idx="1">
                  <c:v>45000</c:v>
                </c:pt>
              </c:numCache>
            </c:numRef>
          </c:val>
          <c:extLst>
            <c:ext xmlns:c16="http://schemas.microsoft.com/office/drawing/2014/chart" uri="{C3380CC4-5D6E-409C-BE32-E72D297353CC}">
              <c16:uniqueId val="{00000003-CB7E-4E15-B5D1-DB92C0275CF0}"/>
            </c:ext>
          </c:extLst>
        </c:ser>
        <c:dLbls>
          <c:showLegendKey val="0"/>
          <c:showVal val="0"/>
          <c:showCatName val="0"/>
          <c:showSerName val="0"/>
          <c:showPercent val="0"/>
          <c:showBubbleSize val="0"/>
        </c:dLbls>
        <c:gapWidth val="219"/>
        <c:overlap val="-27"/>
        <c:axId val="497019695"/>
        <c:axId val="332694127"/>
      </c:barChart>
      <c:catAx>
        <c:axId val="49701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94127"/>
        <c:crosses val="autoZero"/>
        <c:auto val="1"/>
        <c:lblAlgn val="ctr"/>
        <c:lblOffset val="100"/>
        <c:noMultiLvlLbl val="0"/>
      </c:catAx>
      <c:valAx>
        <c:axId val="33269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19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[AlexTheAnalystProject.xlsx]Pivot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c:v>
                </c:pt>
                <c:pt idx="1">
                  <c:v>6</c:v>
                </c:pt>
                <c:pt idx="3">
                  <c:v>6</c:v>
                </c:pt>
              </c:numCache>
            </c:numRef>
          </c:val>
          <c:smooth val="0"/>
          <c:extLst>
            <c:ext xmlns:c16="http://schemas.microsoft.com/office/drawing/2014/chart" uri="{C3380CC4-5D6E-409C-BE32-E72D297353CC}">
              <c16:uniqueId val="{00000000-AD3C-48D8-9AC5-1C81D4F938B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2">
                  <c:v>1</c:v>
                </c:pt>
                <c:pt idx="3">
                  <c:v>1</c:v>
                </c:pt>
                <c:pt idx="4">
                  <c:v>1</c:v>
                </c:pt>
              </c:numCache>
            </c:numRef>
          </c:val>
          <c:smooth val="0"/>
          <c:extLst>
            <c:ext xmlns:c16="http://schemas.microsoft.com/office/drawing/2014/chart" uri="{C3380CC4-5D6E-409C-BE32-E72D297353CC}">
              <c16:uniqueId val="{00000001-AD3C-48D8-9AC5-1C81D4F938BF}"/>
            </c:ext>
          </c:extLst>
        </c:ser>
        <c:dLbls>
          <c:showLegendKey val="0"/>
          <c:showVal val="0"/>
          <c:showCatName val="0"/>
          <c:showSerName val="0"/>
          <c:showPercent val="0"/>
          <c:showBubbleSize val="0"/>
        </c:dLbls>
        <c:smooth val="0"/>
        <c:axId val="632972367"/>
        <c:axId val="632565967"/>
      </c:lineChart>
      <c:catAx>
        <c:axId val="632972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565967"/>
        <c:crosses val="autoZero"/>
        <c:auto val="1"/>
        <c:lblAlgn val="ctr"/>
        <c:lblOffset val="100"/>
        <c:noMultiLvlLbl val="0"/>
      </c:catAx>
      <c:valAx>
        <c:axId val="63256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[AlexTheAnalystProject.xlsx]Pivot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1802092446777486"/>
          <c:w val="0.65269685039370073"/>
          <c:h val="0.65853091280256637"/>
        </c:manualLayout>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Adolescent</c:v>
                </c:pt>
                <c:pt idx="1">
                  <c:v>Middle Aged</c:v>
                </c:pt>
                <c:pt idx="2">
                  <c:v>Old age</c:v>
                </c:pt>
              </c:strCache>
            </c:strRef>
          </c:cat>
          <c:val>
            <c:numRef>
              <c:f>'Pivot Table'!$B$36:$B$39</c:f>
              <c:numCache>
                <c:formatCode>General</c:formatCode>
                <c:ptCount val="3"/>
                <c:pt idx="0">
                  <c:v>6</c:v>
                </c:pt>
                <c:pt idx="1">
                  <c:v>9</c:v>
                </c:pt>
              </c:numCache>
            </c:numRef>
          </c:val>
          <c:smooth val="0"/>
          <c:extLst>
            <c:ext xmlns:c16="http://schemas.microsoft.com/office/drawing/2014/chart" uri="{C3380CC4-5D6E-409C-BE32-E72D297353CC}">
              <c16:uniqueId val="{00000000-C677-466A-9BD8-AD64F309AB89}"/>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Adolescent</c:v>
                </c:pt>
                <c:pt idx="1">
                  <c:v>Middle Aged</c:v>
                </c:pt>
                <c:pt idx="2">
                  <c:v>Old age</c:v>
                </c:pt>
              </c:strCache>
            </c:strRef>
          </c:cat>
          <c:val>
            <c:numRef>
              <c:f>'Pivot Table'!$C$36:$C$39</c:f>
              <c:numCache>
                <c:formatCode>General</c:formatCode>
                <c:ptCount val="3"/>
                <c:pt idx="1">
                  <c:v>2</c:v>
                </c:pt>
                <c:pt idx="2">
                  <c:v>1</c:v>
                </c:pt>
              </c:numCache>
            </c:numRef>
          </c:val>
          <c:smooth val="0"/>
          <c:extLst>
            <c:ext xmlns:c16="http://schemas.microsoft.com/office/drawing/2014/chart" uri="{C3380CC4-5D6E-409C-BE32-E72D297353CC}">
              <c16:uniqueId val="{00000001-C677-466A-9BD8-AD64F309AB89}"/>
            </c:ext>
          </c:extLst>
        </c:ser>
        <c:dLbls>
          <c:showLegendKey val="0"/>
          <c:showVal val="0"/>
          <c:showCatName val="0"/>
          <c:showSerName val="0"/>
          <c:showPercent val="0"/>
          <c:showBubbleSize val="0"/>
        </c:dLbls>
        <c:smooth val="0"/>
        <c:axId val="632977471"/>
        <c:axId val="632674927"/>
      </c:lineChart>
      <c:catAx>
        <c:axId val="63297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74927"/>
        <c:crosses val="autoZero"/>
        <c:auto val="1"/>
        <c:lblAlgn val="ctr"/>
        <c:lblOffset val="100"/>
        <c:noMultiLvlLbl val="0"/>
      </c:catAx>
      <c:valAx>
        <c:axId val="63267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491771</xdr:colOff>
      <xdr:row>0</xdr:row>
      <xdr:rowOff>0</xdr:rowOff>
    </xdr:from>
    <xdr:to>
      <xdr:col>12</xdr:col>
      <xdr:colOff>47037</xdr:colOff>
      <xdr:row>13</xdr:row>
      <xdr:rowOff>105833</xdr:rowOff>
    </xdr:to>
    <xdr:graphicFrame macro="">
      <xdr:nvGraphicFramePr>
        <xdr:cNvPr id="2" name="Chart 1">
          <a:extLst>
            <a:ext uri="{FF2B5EF4-FFF2-40B4-BE49-F238E27FC236}">
              <a16:creationId xmlns:a16="http://schemas.microsoft.com/office/drawing/2014/main" id="{E0BB7FAC-0580-C75B-99FF-A14A09303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1176</xdr:colOff>
      <xdr:row>14</xdr:row>
      <xdr:rowOff>151224</xdr:rowOff>
    </xdr:from>
    <xdr:to>
      <xdr:col>14</xdr:col>
      <xdr:colOff>292805</xdr:colOff>
      <xdr:row>29</xdr:row>
      <xdr:rowOff>72202</xdr:rowOff>
    </xdr:to>
    <xdr:graphicFrame macro="">
      <xdr:nvGraphicFramePr>
        <xdr:cNvPr id="3" name="Chart 2">
          <a:extLst>
            <a:ext uri="{FF2B5EF4-FFF2-40B4-BE49-F238E27FC236}">
              <a16:creationId xmlns:a16="http://schemas.microsoft.com/office/drawing/2014/main" id="{642EAF62-C13D-B920-0DC7-E31742125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559130</xdr:colOff>
      <xdr:row>33</xdr:row>
      <xdr:rowOff>63335</xdr:rowOff>
    </xdr:from>
    <xdr:to>
      <xdr:col>12</xdr:col>
      <xdr:colOff>249052</xdr:colOff>
      <xdr:row>48</xdr:row>
      <xdr:rowOff>85107</xdr:rowOff>
    </xdr:to>
    <xdr:graphicFrame macro="">
      <xdr:nvGraphicFramePr>
        <xdr:cNvPr id="4" name="Chart 3">
          <a:extLst>
            <a:ext uri="{FF2B5EF4-FFF2-40B4-BE49-F238E27FC236}">
              <a16:creationId xmlns:a16="http://schemas.microsoft.com/office/drawing/2014/main" id="{EC074D4F-EBA5-349F-D22E-E898CB017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298019</xdr:colOff>
      <xdr:row>6</xdr:row>
      <xdr:rowOff>100827</xdr:rowOff>
    </xdr:from>
    <xdr:to>
      <xdr:col>9</xdr:col>
      <xdr:colOff>301886</xdr:colOff>
      <xdr:row>18</xdr:row>
      <xdr:rowOff>62459</xdr:rowOff>
    </xdr:to>
    <xdr:graphicFrame macro="">
      <xdr:nvGraphicFramePr>
        <xdr:cNvPr id="3" name="Chart 2">
          <a:extLst>
            <a:ext uri="{FF2B5EF4-FFF2-40B4-BE49-F238E27FC236}">
              <a16:creationId xmlns:a16="http://schemas.microsoft.com/office/drawing/2014/main" id="{A3D553EC-6765-41F3-B60E-3AB7AD1F5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312294</xdr:colOff>
      <xdr:row>19</xdr:row>
      <xdr:rowOff>156147</xdr:rowOff>
    </xdr:from>
    <xdr:to>
      <xdr:col>16</xdr:col>
      <xdr:colOff>20819</xdr:colOff>
      <xdr:row>34</xdr:row>
      <xdr:rowOff>20393</xdr:rowOff>
    </xdr:to>
    <xdr:graphicFrame macro="">
      <xdr:nvGraphicFramePr>
        <xdr:cNvPr id="5" name="Chart 4">
          <a:extLst>
            <a:ext uri="{FF2B5EF4-FFF2-40B4-BE49-F238E27FC236}">
              <a16:creationId xmlns:a16="http://schemas.microsoft.com/office/drawing/2014/main" id="{5E6A0F36-E24B-43B3-9F1D-F70C7438F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489262</xdr:colOff>
      <xdr:row>6</xdr:row>
      <xdr:rowOff>109881</xdr:rowOff>
    </xdr:from>
    <xdr:to>
      <xdr:col>15</xdr:col>
      <xdr:colOff>603769</xdr:colOff>
      <xdr:row>18</xdr:row>
      <xdr:rowOff>72869</xdr:rowOff>
    </xdr:to>
    <xdr:graphicFrame macro="">
      <xdr:nvGraphicFramePr>
        <xdr:cNvPr id="6" name="Chart 5">
          <a:extLst>
            <a:ext uri="{FF2B5EF4-FFF2-40B4-BE49-F238E27FC236}">
              <a16:creationId xmlns:a16="http://schemas.microsoft.com/office/drawing/2014/main" id="{29B3EC4E-1862-4E1D-978C-3C6357F93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200389</xdr:colOff>
      <xdr:row>7</xdr:row>
      <xdr:rowOff>54548</xdr:rowOff>
    </xdr:from>
    <xdr:to>
      <xdr:col>3</xdr:col>
      <xdr:colOff>186648</xdr:colOff>
      <xdr:row>12</xdr:row>
      <xdr:rowOff>-1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3DB1F5EB-151E-B3F6-D0FA-5F8FD3D9850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00389" y="1366187"/>
              <a:ext cx="1828800" cy="882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219336</xdr:colOff>
      <xdr:row>18</xdr:row>
      <xdr:rowOff>167183</xdr:rowOff>
    </xdr:from>
    <xdr:to>
      <xdr:col>3</xdr:col>
      <xdr:colOff>205595</xdr:colOff>
      <xdr:row>28</xdr:row>
      <xdr:rowOff>20821</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6765E935-A021-5E81-36B5-AF65E380726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9336" y="3539970"/>
              <a:ext cx="1828800" cy="1727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216733</xdr:colOff>
      <xdr:row>12</xdr:row>
      <xdr:rowOff>70891</xdr:rowOff>
    </xdr:from>
    <xdr:to>
      <xdr:col>3</xdr:col>
      <xdr:colOff>202992</xdr:colOff>
      <xdr:row>18</xdr:row>
      <xdr:rowOff>124919</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DB8A0450-196A-9DA0-2553-6241EA31C9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6733" y="2319416"/>
              <a:ext cx="1828800" cy="1178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a Shukla" refreshedDate="46316.024888310189" createdVersion="8" refreshedVersion="8" minRefreshableVersion="3" recordCount="1000" xr:uid="{8C880672-5AB5-41C0-AA3E-0755447E105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3">
        <s v="Married"/>
        <s v="Single"/>
        <s v="Singleingle" u="1"/>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84493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3CC5F-7D7D-4B08-ACBF-94AF57DE25C1}"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D39" firstHeaderRow="1" firstDataRow="2" firstDataCol="1"/>
  <pivotFields count="14">
    <pivotField showAll="0"/>
    <pivotField showAll="0">
      <items count="4">
        <item h="1" x="0"/>
        <item x="1"/>
        <item h="1" m="1" x="2"/>
        <item t="default"/>
      </items>
    </pivotField>
    <pivotField showAll="0"/>
    <pivotField numFmtId="166"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7D18FD-37DE-4406-B505-3E174511D44A}"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4">
        <item h="1" x="0"/>
        <item x="1"/>
        <item h="1" m="1" x="2"/>
        <item t="default"/>
      </items>
    </pivotField>
    <pivotField showAll="0"/>
    <pivotField numFmtId="166"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29EB75-19E5-4FB7-819B-D762160BBAFB}"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4">
        <item h="1" x="0"/>
        <item x="1"/>
        <item h="1" m="1" x="2"/>
        <item t="default"/>
      </items>
    </pivotField>
    <pivotField axis="axisRow" showAll="0">
      <items count="3">
        <item x="0"/>
        <item x="1"/>
        <item t="default"/>
      </items>
    </pivotField>
    <pivotField dataField="1" numFmtId="166"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2">
    <format dxfId="51">
      <pivotArea collapsedLevelsAreSubtotals="1" fieldPosition="0">
        <references count="2">
          <reference field="2" count="1">
            <x v="0"/>
          </reference>
          <reference field="13" count="1" selected="0">
            <x v="1"/>
          </reference>
        </references>
      </pivotArea>
    </format>
    <format dxfId="5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E6B695-0D9C-48FF-BBB2-066819B82042}" sourceName="Marital Status">
  <pivotTables>
    <pivotTable tabId="3" name="PivotTable1"/>
    <pivotTable tabId="3" name="PivotTable2"/>
    <pivotTable tabId="3" name="PivotTable3"/>
  </pivotTables>
  <data>
    <tabular pivotCacheId="1584493737">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5B2CF72-5691-4180-AF6F-C1043E474B64}" sourceName="Education">
  <pivotTables>
    <pivotTable tabId="3" name="PivotTable1"/>
    <pivotTable tabId="3" name="PivotTable2"/>
    <pivotTable tabId="3" name="PivotTable3"/>
  </pivotTables>
  <data>
    <tabular pivotCacheId="1584493737">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9D87CC-FDB9-432D-AE75-BF9E16D8E9A6}" sourceName="Region">
  <pivotTables>
    <pivotTable tabId="3" name="PivotTable1"/>
    <pivotTable tabId="3" name="PivotTable2"/>
    <pivotTable tabId="3" name="PivotTable3"/>
  </pivotTables>
  <data>
    <tabular pivotCacheId="158449373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16A78D5-7001-4803-A828-E7BE56E8D8AE}" cache="Slicer_Marital_Status" caption="Marital Status" rowHeight="241300"/>
  <slicer name="Education" xr10:uid="{ECA88B79-E681-4DE9-B698-B1D33E612686}" cache="Slicer_Education" caption="Education" rowHeight="241300"/>
  <slicer name="Region" xr10:uid="{E9F19ADA-4E80-4913-A2CA-976FF3DFC82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64" zoomScale="37"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6A7EF-EE82-416D-905B-5ADFCF553F11}">
  <dimension ref="A1:N1001"/>
  <sheetViews>
    <sheetView zoomScale="74" workbookViewId="0">
      <selection activeCell="B1002" sqref="B1002"/>
    </sheetView>
  </sheetViews>
  <sheetFormatPr defaultRowHeight="14.5" x14ac:dyDescent="0.35"/>
  <cols>
    <col min="2" max="2" width="13.90625" customWidth="1"/>
    <col min="3" max="3" width="11.81640625" customWidth="1"/>
    <col min="4" max="4" width="17.90625" style="3" customWidth="1"/>
    <col min="5" max="5" width="11.26953125" customWidth="1"/>
    <col min="6" max="6" width="19.90625" customWidth="1"/>
    <col min="7" max="7" width="17.1796875" customWidth="1"/>
    <col min="8" max="8" width="16.1796875" customWidth="1"/>
    <col min="10" max="10" width="11.81640625" customWidth="1"/>
    <col min="12" max="12" width="12.26953125" customWidth="1"/>
    <col min="13" max="13" width="18.90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 age",IF(L2&gt;=31,"Middle Aged",IF(L2&lt;31,"Adolescent","Invalid")))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 age",IF(L3&gt;=31,"Middle Aged",IF(L3&lt;31,"Adolescent","Invalid")))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 t="shared" si="0"/>
        <v>Old age</v>
      </c>
      <c r="N4" t="s">
        <v>18</v>
      </c>
    </row>
    <row r="5" spans="1:14" x14ac:dyDescent="0.35">
      <c r="A5">
        <v>24381</v>
      </c>
      <c r="B5" t="s">
        <v>37</v>
      </c>
      <c r="C5" t="s">
        <v>39</v>
      </c>
      <c r="D5" s="3">
        <v>70000</v>
      </c>
      <c r="E5">
        <v>0</v>
      </c>
      <c r="F5" t="s">
        <v>13</v>
      </c>
      <c r="G5" t="s">
        <v>21</v>
      </c>
      <c r="H5" t="s">
        <v>15</v>
      </c>
      <c r="I5">
        <v>1</v>
      </c>
      <c r="J5" t="s">
        <v>23</v>
      </c>
      <c r="K5" t="s">
        <v>24</v>
      </c>
      <c r="L5">
        <v>41</v>
      </c>
      <c r="M5" t="str">
        <f t="shared" si="0"/>
        <v>Middle Aged</v>
      </c>
      <c r="N5" t="s">
        <v>15</v>
      </c>
    </row>
    <row r="6" spans="1:14" x14ac:dyDescent="0.35">
      <c r="A6">
        <v>25597</v>
      </c>
      <c r="B6" t="s">
        <v>37</v>
      </c>
      <c r="C6" t="s">
        <v>39</v>
      </c>
      <c r="D6" s="3">
        <v>30000</v>
      </c>
      <c r="E6">
        <v>0</v>
      </c>
      <c r="F6" t="s">
        <v>13</v>
      </c>
      <c r="G6" t="s">
        <v>20</v>
      </c>
      <c r="H6" t="s">
        <v>18</v>
      </c>
      <c r="I6">
        <v>0</v>
      </c>
      <c r="J6" t="s">
        <v>16</v>
      </c>
      <c r="K6" t="s">
        <v>17</v>
      </c>
      <c r="L6">
        <v>36</v>
      </c>
      <c r="M6" t="str">
        <f t="shared" si="0"/>
        <v>Middle Aged</v>
      </c>
      <c r="N6" t="s">
        <v>15</v>
      </c>
    </row>
    <row r="7" spans="1:14" x14ac:dyDescent="0.35">
      <c r="A7">
        <v>13507</v>
      </c>
      <c r="B7" t="s">
        <v>36</v>
      </c>
      <c r="C7" t="s">
        <v>38</v>
      </c>
      <c r="D7" s="3">
        <v>10000</v>
      </c>
      <c r="E7">
        <v>2</v>
      </c>
      <c r="F7" t="s">
        <v>19</v>
      </c>
      <c r="G7" t="s">
        <v>25</v>
      </c>
      <c r="H7" t="s">
        <v>15</v>
      </c>
      <c r="I7">
        <v>0</v>
      </c>
      <c r="J7" t="s">
        <v>26</v>
      </c>
      <c r="K7" t="s">
        <v>17</v>
      </c>
      <c r="L7">
        <v>50</v>
      </c>
      <c r="M7" t="str">
        <f t="shared" si="0"/>
        <v>Middle Aged</v>
      </c>
      <c r="N7" t="s">
        <v>18</v>
      </c>
    </row>
    <row r="8" spans="1:14" x14ac:dyDescent="0.35">
      <c r="A8">
        <v>27974</v>
      </c>
      <c r="B8" t="s">
        <v>37</v>
      </c>
      <c r="C8" t="s">
        <v>39</v>
      </c>
      <c r="D8" s="3">
        <v>160000</v>
      </c>
      <c r="E8">
        <v>2</v>
      </c>
      <c r="F8" t="s">
        <v>27</v>
      </c>
      <c r="G8" t="s">
        <v>28</v>
      </c>
      <c r="H8" t="s">
        <v>15</v>
      </c>
      <c r="I8">
        <v>4</v>
      </c>
      <c r="J8" t="s">
        <v>16</v>
      </c>
      <c r="K8" t="s">
        <v>24</v>
      </c>
      <c r="L8">
        <v>33</v>
      </c>
      <c r="M8" t="str">
        <f t="shared" si="0"/>
        <v>Middle Aged</v>
      </c>
      <c r="N8" t="s">
        <v>15</v>
      </c>
    </row>
    <row r="9" spans="1:14" x14ac:dyDescent="0.35">
      <c r="A9">
        <v>19364</v>
      </c>
      <c r="B9" t="s">
        <v>36</v>
      </c>
      <c r="C9" t="s">
        <v>39</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 age</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38</v>
      </c>
      <c r="D13" s="3">
        <v>90000</v>
      </c>
      <c r="E13">
        <v>0</v>
      </c>
      <c r="F13" t="s">
        <v>13</v>
      </c>
      <c r="G13" t="s">
        <v>21</v>
      </c>
      <c r="H13" t="s">
        <v>18</v>
      </c>
      <c r="I13">
        <v>4</v>
      </c>
      <c r="J13" t="s">
        <v>45</v>
      </c>
      <c r="K13" t="s">
        <v>24</v>
      </c>
      <c r="L13">
        <v>36</v>
      </c>
      <c r="M13" t="str">
        <f t="shared" si="0"/>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 age</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 age</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 age</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38</v>
      </c>
      <c r="D23" s="3">
        <v>80000</v>
      </c>
      <c r="E23">
        <v>0</v>
      </c>
      <c r="F23" t="s">
        <v>13</v>
      </c>
      <c r="G23" t="s">
        <v>21</v>
      </c>
      <c r="H23" t="s">
        <v>15</v>
      </c>
      <c r="I23">
        <v>4</v>
      </c>
      <c r="J23" t="s">
        <v>45</v>
      </c>
      <c r="K23" t="s">
        <v>24</v>
      </c>
      <c r="L23">
        <v>35</v>
      </c>
      <c r="M23" t="str">
        <f t="shared" si="0"/>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 age</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 age</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 age</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 age</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 age</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 age</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45</v>
      </c>
      <c r="K53" t="s">
        <v>24</v>
      </c>
      <c r="L53">
        <v>35</v>
      </c>
      <c r="M53" t="str">
        <f t="shared" si="0"/>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 age</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 age</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39</v>
      </c>
      <c r="D57" s="3">
        <v>80000</v>
      </c>
      <c r="E57">
        <v>4</v>
      </c>
      <c r="F57" t="s">
        <v>27</v>
      </c>
      <c r="G57" t="s">
        <v>21</v>
      </c>
      <c r="H57" t="s">
        <v>15</v>
      </c>
      <c r="I57">
        <v>2</v>
      </c>
      <c r="J57" t="s">
        <v>45</v>
      </c>
      <c r="K57" t="s">
        <v>17</v>
      </c>
      <c r="L57">
        <v>54</v>
      </c>
      <c r="M57" t="str">
        <f t="shared" si="0"/>
        <v>Middle Aged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 age</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39</v>
      </c>
      <c r="D65" s="3">
        <v>60000</v>
      </c>
      <c r="E65">
        <v>4</v>
      </c>
      <c r="F65" t="s">
        <v>13</v>
      </c>
      <c r="G65" t="s">
        <v>21</v>
      </c>
      <c r="H65" t="s">
        <v>15</v>
      </c>
      <c r="I65">
        <v>3</v>
      </c>
      <c r="J65" t="s">
        <v>45</v>
      </c>
      <c r="K65" t="s">
        <v>24</v>
      </c>
      <c r="L65">
        <v>41</v>
      </c>
      <c r="M65" t="str">
        <f t="shared" si="0"/>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 age",IF(L67&gt;=31,"Middle Aged",IF(L67&lt;31,"Adolescent","Invalid")))</f>
        <v>Old age</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45</v>
      </c>
      <c r="K72" t="s">
        <v>24</v>
      </c>
      <c r="L72">
        <v>36</v>
      </c>
      <c r="M72" t="str">
        <f t="shared" si="1"/>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 age</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 age</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 age</v>
      </c>
      <c r="N96" t="s">
        <v>18</v>
      </c>
    </row>
    <row r="97" spans="1:14" x14ac:dyDescent="0.35">
      <c r="A97">
        <v>17197</v>
      </c>
      <c r="B97" t="s">
        <v>37</v>
      </c>
      <c r="C97" t="s">
        <v>38</v>
      </c>
      <c r="D97" s="3">
        <v>90000</v>
      </c>
      <c r="E97">
        <v>5</v>
      </c>
      <c r="F97" t="s">
        <v>19</v>
      </c>
      <c r="G97" t="s">
        <v>21</v>
      </c>
      <c r="H97" t="s">
        <v>15</v>
      </c>
      <c r="I97">
        <v>2</v>
      </c>
      <c r="J97" t="s">
        <v>45</v>
      </c>
      <c r="K97" t="s">
        <v>17</v>
      </c>
      <c r="L97">
        <v>62</v>
      </c>
      <c r="M97" t="str">
        <f t="shared" si="1"/>
        <v>Old age</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 age</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 age</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38</v>
      </c>
      <c r="D124" s="3">
        <v>80000</v>
      </c>
      <c r="E124">
        <v>0</v>
      </c>
      <c r="F124" t="s">
        <v>13</v>
      </c>
      <c r="G124" t="s">
        <v>21</v>
      </c>
      <c r="H124" t="s">
        <v>18</v>
      </c>
      <c r="I124">
        <v>3</v>
      </c>
      <c r="J124" t="s">
        <v>45</v>
      </c>
      <c r="K124" t="s">
        <v>24</v>
      </c>
      <c r="L124">
        <v>31</v>
      </c>
      <c r="M124" t="str">
        <f t="shared" si="1"/>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 age</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 age",IF(L131&gt;=31,"Middle Aged",IF(L131&lt;31,"Adolescent","Invalid")))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 age</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 age</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 age</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 age</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38</v>
      </c>
      <c r="D145" s="3">
        <v>80000</v>
      </c>
      <c r="E145">
        <v>0</v>
      </c>
      <c r="F145" t="s">
        <v>13</v>
      </c>
      <c r="G145" t="s">
        <v>21</v>
      </c>
      <c r="H145" t="s">
        <v>15</v>
      </c>
      <c r="I145">
        <v>3</v>
      </c>
      <c r="J145" t="s">
        <v>45</v>
      </c>
      <c r="K145" t="s">
        <v>24</v>
      </c>
      <c r="L145">
        <v>32</v>
      </c>
      <c r="M145" t="str">
        <f t="shared" si="2"/>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 age</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 age</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39</v>
      </c>
      <c r="D169" s="3">
        <v>100000</v>
      </c>
      <c r="E169">
        <v>0</v>
      </c>
      <c r="F169" t="s">
        <v>27</v>
      </c>
      <c r="G169" t="s">
        <v>28</v>
      </c>
      <c r="H169" t="s">
        <v>15</v>
      </c>
      <c r="I169">
        <v>3</v>
      </c>
      <c r="J169" t="s">
        <v>45</v>
      </c>
      <c r="K169" t="s">
        <v>24</v>
      </c>
      <c r="L169">
        <v>35</v>
      </c>
      <c r="M169" t="str">
        <f t="shared" si="2"/>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 age</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 age</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39</v>
      </c>
      <c r="D180" s="3">
        <v>160000</v>
      </c>
      <c r="E180">
        <v>4</v>
      </c>
      <c r="F180" t="s">
        <v>19</v>
      </c>
      <c r="G180" t="s">
        <v>21</v>
      </c>
      <c r="H180" t="s">
        <v>18</v>
      </c>
      <c r="I180">
        <v>2</v>
      </c>
      <c r="J180" t="s">
        <v>45</v>
      </c>
      <c r="K180" t="s">
        <v>17</v>
      </c>
      <c r="L180">
        <v>55</v>
      </c>
      <c r="M180" t="str">
        <f t="shared" si="2"/>
        <v>Old age</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 age</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 age</v>
      </c>
      <c r="N185" t="s">
        <v>15</v>
      </c>
    </row>
    <row r="186" spans="1:14" x14ac:dyDescent="0.35">
      <c r="A186">
        <v>28918</v>
      </c>
      <c r="B186" t="s">
        <v>36</v>
      </c>
      <c r="C186" t="s">
        <v>38</v>
      </c>
      <c r="D186" s="3">
        <v>130000</v>
      </c>
      <c r="E186">
        <v>4</v>
      </c>
      <c r="F186" t="s">
        <v>27</v>
      </c>
      <c r="G186" t="s">
        <v>28</v>
      </c>
      <c r="H186" t="s">
        <v>18</v>
      </c>
      <c r="I186">
        <v>4</v>
      </c>
      <c r="J186" t="s">
        <v>45</v>
      </c>
      <c r="K186" t="s">
        <v>17</v>
      </c>
      <c r="L186">
        <v>58</v>
      </c>
      <c r="M186" t="str">
        <f t="shared" si="2"/>
        <v>Old age</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 age</v>
      </c>
      <c r="N188" t="s">
        <v>15</v>
      </c>
    </row>
    <row r="189" spans="1:14" x14ac:dyDescent="0.35">
      <c r="A189">
        <v>18151</v>
      </c>
      <c r="B189" t="s">
        <v>37</v>
      </c>
      <c r="C189" t="s">
        <v>39</v>
      </c>
      <c r="D189" s="3">
        <v>80000</v>
      </c>
      <c r="E189">
        <v>5</v>
      </c>
      <c r="F189" t="s">
        <v>19</v>
      </c>
      <c r="G189" t="s">
        <v>21</v>
      </c>
      <c r="H189" t="s">
        <v>18</v>
      </c>
      <c r="I189">
        <v>2</v>
      </c>
      <c r="J189" t="s">
        <v>45</v>
      </c>
      <c r="K189" t="s">
        <v>17</v>
      </c>
      <c r="L189">
        <v>59</v>
      </c>
      <c r="M189" t="str">
        <f t="shared" si="2"/>
        <v>Old age</v>
      </c>
      <c r="N189" t="s">
        <v>18</v>
      </c>
    </row>
    <row r="190" spans="1:14" x14ac:dyDescent="0.35">
      <c r="A190">
        <v>20606</v>
      </c>
      <c r="B190" t="s">
        <v>36</v>
      </c>
      <c r="C190" t="s">
        <v>38</v>
      </c>
      <c r="D190" s="3">
        <v>70000</v>
      </c>
      <c r="E190">
        <v>0</v>
      </c>
      <c r="F190" t="s">
        <v>13</v>
      </c>
      <c r="G190" t="s">
        <v>21</v>
      </c>
      <c r="H190" t="s">
        <v>15</v>
      </c>
      <c r="I190">
        <v>4</v>
      </c>
      <c r="J190" t="s">
        <v>45</v>
      </c>
      <c r="K190" t="s">
        <v>24</v>
      </c>
      <c r="L190">
        <v>32</v>
      </c>
      <c r="M190" t="str">
        <f t="shared" si="2"/>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 age</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38</v>
      </c>
      <c r="D194" s="3">
        <v>80000</v>
      </c>
      <c r="E194">
        <v>5</v>
      </c>
      <c r="F194" t="s">
        <v>13</v>
      </c>
      <c r="G194" t="s">
        <v>28</v>
      </c>
      <c r="H194" t="s">
        <v>15</v>
      </c>
      <c r="I194">
        <v>2</v>
      </c>
      <c r="J194" t="s">
        <v>45</v>
      </c>
      <c r="K194" t="s">
        <v>17</v>
      </c>
      <c r="L194">
        <v>62</v>
      </c>
      <c r="M194" t="str">
        <f t="shared" si="2"/>
        <v>Old age</v>
      </c>
      <c r="N194" t="s">
        <v>18</v>
      </c>
    </row>
    <row r="195" spans="1:14" x14ac:dyDescent="0.35">
      <c r="A195">
        <v>26032</v>
      </c>
      <c r="B195" t="s">
        <v>36</v>
      </c>
      <c r="C195" t="s">
        <v>38</v>
      </c>
      <c r="D195" s="3">
        <v>70000</v>
      </c>
      <c r="E195">
        <v>5</v>
      </c>
      <c r="F195" t="s">
        <v>13</v>
      </c>
      <c r="G195" t="s">
        <v>21</v>
      </c>
      <c r="H195" t="s">
        <v>15</v>
      </c>
      <c r="I195">
        <v>4</v>
      </c>
      <c r="J195" t="s">
        <v>45</v>
      </c>
      <c r="K195" t="s">
        <v>24</v>
      </c>
      <c r="L195">
        <v>41</v>
      </c>
      <c r="M195" t="str">
        <f t="shared" ref="M195:M258" si="3">IF(L195&gt;54,"Old age",IF(L195&gt;=31,"Middle Aged",IF(L195&lt;31,"Adolescent","Invalid")))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 age</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39</v>
      </c>
      <c r="D201" s="3">
        <v>80000</v>
      </c>
      <c r="E201">
        <v>0</v>
      </c>
      <c r="F201" t="s">
        <v>13</v>
      </c>
      <c r="G201" t="s">
        <v>21</v>
      </c>
      <c r="H201" t="s">
        <v>18</v>
      </c>
      <c r="I201">
        <v>3</v>
      </c>
      <c r="J201" t="s">
        <v>45</v>
      </c>
      <c r="K201" t="s">
        <v>24</v>
      </c>
      <c r="L201">
        <v>33</v>
      </c>
      <c r="M201" t="str">
        <f t="shared" si="3"/>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39</v>
      </c>
      <c r="D208" s="3">
        <v>90000</v>
      </c>
      <c r="E208">
        <v>5</v>
      </c>
      <c r="F208" t="s">
        <v>19</v>
      </c>
      <c r="G208" t="s">
        <v>21</v>
      </c>
      <c r="H208" t="s">
        <v>18</v>
      </c>
      <c r="I208">
        <v>2</v>
      </c>
      <c r="J208" t="s">
        <v>45</v>
      </c>
      <c r="K208" t="s">
        <v>17</v>
      </c>
      <c r="L208">
        <v>62</v>
      </c>
      <c r="M208" t="str">
        <f t="shared" si="3"/>
        <v>Old age</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45</v>
      </c>
      <c r="K215" t="s">
        <v>24</v>
      </c>
      <c r="L215">
        <v>31</v>
      </c>
      <c r="M215" t="str">
        <f t="shared" si="3"/>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 age</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38</v>
      </c>
      <c r="D225" s="3">
        <v>70000</v>
      </c>
      <c r="E225">
        <v>5</v>
      </c>
      <c r="F225" t="s">
        <v>13</v>
      </c>
      <c r="G225" t="s">
        <v>21</v>
      </c>
      <c r="H225" t="s">
        <v>15</v>
      </c>
      <c r="I225">
        <v>4</v>
      </c>
      <c r="J225" t="s">
        <v>45</v>
      </c>
      <c r="K225" t="s">
        <v>24</v>
      </c>
      <c r="L225">
        <v>39</v>
      </c>
      <c r="M225" t="str">
        <f t="shared" si="3"/>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 age</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39</v>
      </c>
      <c r="D231" s="3">
        <v>80000</v>
      </c>
      <c r="E231">
        <v>5</v>
      </c>
      <c r="F231" t="s">
        <v>27</v>
      </c>
      <c r="G231" t="s">
        <v>28</v>
      </c>
      <c r="H231" t="s">
        <v>15</v>
      </c>
      <c r="I231">
        <v>3</v>
      </c>
      <c r="J231" t="s">
        <v>45</v>
      </c>
      <c r="K231" t="s">
        <v>17</v>
      </c>
      <c r="L231">
        <v>57</v>
      </c>
      <c r="M231" t="str">
        <f t="shared" si="3"/>
        <v>Old age</v>
      </c>
      <c r="N231" t="s">
        <v>18</v>
      </c>
    </row>
    <row r="232" spans="1:14" x14ac:dyDescent="0.35">
      <c r="A232">
        <v>22830</v>
      </c>
      <c r="B232" t="s">
        <v>36</v>
      </c>
      <c r="C232" t="s">
        <v>39</v>
      </c>
      <c r="D232" s="3">
        <v>120000</v>
      </c>
      <c r="E232">
        <v>4</v>
      </c>
      <c r="F232" t="s">
        <v>19</v>
      </c>
      <c r="G232" t="s">
        <v>28</v>
      </c>
      <c r="H232" t="s">
        <v>15</v>
      </c>
      <c r="I232">
        <v>3</v>
      </c>
      <c r="J232" t="s">
        <v>45</v>
      </c>
      <c r="K232" t="s">
        <v>17</v>
      </c>
      <c r="L232">
        <v>56</v>
      </c>
      <c r="M232" t="str">
        <f t="shared" si="3"/>
        <v>Old age</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45</v>
      </c>
      <c r="K236" t="s">
        <v>24</v>
      </c>
      <c r="L236">
        <v>35</v>
      </c>
      <c r="M236" t="str">
        <f t="shared" si="3"/>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 age</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45</v>
      </c>
      <c r="K246" t="s">
        <v>17</v>
      </c>
      <c r="L246">
        <v>52</v>
      </c>
      <c r="M246" t="str">
        <f t="shared" si="3"/>
        <v>Middle Aged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38</v>
      </c>
      <c r="D249" s="3">
        <v>100000</v>
      </c>
      <c r="E249">
        <v>0</v>
      </c>
      <c r="F249" t="s">
        <v>27</v>
      </c>
      <c r="G249" t="s">
        <v>28</v>
      </c>
      <c r="H249" t="s">
        <v>15</v>
      </c>
      <c r="I249">
        <v>4</v>
      </c>
      <c r="J249" t="s">
        <v>45</v>
      </c>
      <c r="K249" t="s">
        <v>24</v>
      </c>
      <c r="L249">
        <v>34</v>
      </c>
      <c r="M249" t="str">
        <f t="shared" si="3"/>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 age</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 age</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 age</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39</v>
      </c>
      <c r="D255" s="3">
        <v>100000</v>
      </c>
      <c r="E255">
        <v>3</v>
      </c>
      <c r="F255" t="s">
        <v>29</v>
      </c>
      <c r="G255" t="s">
        <v>21</v>
      </c>
      <c r="H255" t="s">
        <v>15</v>
      </c>
      <c r="I255">
        <v>0</v>
      </c>
      <c r="J255" t="s">
        <v>45</v>
      </c>
      <c r="K255" t="s">
        <v>17</v>
      </c>
      <c r="L255">
        <v>59</v>
      </c>
      <c r="M255" t="str">
        <f t="shared" si="3"/>
        <v>Old age</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 age</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 age",IF(L259&gt;=31,"Middle Aged",IF(L259&lt;31,"Adolescent","Invalid")))</f>
        <v>Middle Aged</v>
      </c>
      <c r="N259" t="s">
        <v>15</v>
      </c>
    </row>
    <row r="260" spans="1:14" x14ac:dyDescent="0.35">
      <c r="A260">
        <v>14193</v>
      </c>
      <c r="B260" t="s">
        <v>37</v>
      </c>
      <c r="C260" t="s">
        <v>38</v>
      </c>
      <c r="D260" s="3">
        <v>100000</v>
      </c>
      <c r="E260">
        <v>3</v>
      </c>
      <c r="F260" t="s">
        <v>19</v>
      </c>
      <c r="G260" t="s">
        <v>28</v>
      </c>
      <c r="H260" t="s">
        <v>15</v>
      </c>
      <c r="I260">
        <v>4</v>
      </c>
      <c r="J260" t="s">
        <v>45</v>
      </c>
      <c r="K260" t="s">
        <v>17</v>
      </c>
      <c r="L260">
        <v>56</v>
      </c>
      <c r="M260" t="str">
        <f t="shared" si="4"/>
        <v>Old age</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38</v>
      </c>
      <c r="D265" s="3">
        <v>70000</v>
      </c>
      <c r="E265">
        <v>5</v>
      </c>
      <c r="F265" t="s">
        <v>13</v>
      </c>
      <c r="G265" t="s">
        <v>21</v>
      </c>
      <c r="H265" t="s">
        <v>15</v>
      </c>
      <c r="I265">
        <v>3</v>
      </c>
      <c r="J265" t="s">
        <v>45</v>
      </c>
      <c r="K265" t="s">
        <v>24</v>
      </c>
      <c r="L265">
        <v>39</v>
      </c>
      <c r="M265" t="str">
        <f t="shared" si="4"/>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39</v>
      </c>
      <c r="D280" s="3">
        <v>100000</v>
      </c>
      <c r="E280">
        <v>0</v>
      </c>
      <c r="F280" t="s">
        <v>27</v>
      </c>
      <c r="G280" t="s">
        <v>28</v>
      </c>
      <c r="H280" t="s">
        <v>15</v>
      </c>
      <c r="I280">
        <v>3</v>
      </c>
      <c r="J280" t="s">
        <v>45</v>
      </c>
      <c r="K280" t="s">
        <v>24</v>
      </c>
      <c r="L280">
        <v>35</v>
      </c>
      <c r="M280" t="str">
        <f t="shared" si="4"/>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38</v>
      </c>
      <c r="D297" s="3">
        <v>110000</v>
      </c>
      <c r="E297">
        <v>0</v>
      </c>
      <c r="F297" t="s">
        <v>19</v>
      </c>
      <c r="G297" t="s">
        <v>28</v>
      </c>
      <c r="H297" t="s">
        <v>15</v>
      </c>
      <c r="I297">
        <v>3</v>
      </c>
      <c r="J297" t="s">
        <v>45</v>
      </c>
      <c r="K297" t="s">
        <v>24</v>
      </c>
      <c r="L297">
        <v>32</v>
      </c>
      <c r="M297" t="str">
        <f t="shared" si="4"/>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 age</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 age</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 age</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 age</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 age</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 age</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 age</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39</v>
      </c>
      <c r="D320" s="3">
        <v>130000</v>
      </c>
      <c r="E320">
        <v>4</v>
      </c>
      <c r="F320" t="s">
        <v>19</v>
      </c>
      <c r="G320" t="s">
        <v>21</v>
      </c>
      <c r="H320" t="s">
        <v>18</v>
      </c>
      <c r="I320">
        <v>3</v>
      </c>
      <c r="J320" t="s">
        <v>45</v>
      </c>
      <c r="K320" t="s">
        <v>17</v>
      </c>
      <c r="L320">
        <v>54</v>
      </c>
      <c r="M320" t="str">
        <f t="shared" si="4"/>
        <v>Middle Aged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 age",IF(L323&gt;=31,"Middle Aged",IF(L323&lt;31,"Adolescent","Invalid")))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38</v>
      </c>
      <c r="D331" s="3">
        <v>90000</v>
      </c>
      <c r="E331">
        <v>5</v>
      </c>
      <c r="F331" t="s">
        <v>29</v>
      </c>
      <c r="G331" t="s">
        <v>14</v>
      </c>
      <c r="H331" t="s">
        <v>15</v>
      </c>
      <c r="I331">
        <v>2</v>
      </c>
      <c r="J331" t="s">
        <v>45</v>
      </c>
      <c r="K331" t="s">
        <v>17</v>
      </c>
      <c r="L331">
        <v>59</v>
      </c>
      <c r="M331" t="str">
        <f t="shared" si="5"/>
        <v>Old age</v>
      </c>
      <c r="N331" t="s">
        <v>18</v>
      </c>
    </row>
    <row r="332" spans="1:14" x14ac:dyDescent="0.35">
      <c r="A332">
        <v>24898</v>
      </c>
      <c r="B332" t="s">
        <v>37</v>
      </c>
      <c r="C332" t="s">
        <v>38</v>
      </c>
      <c r="D332" s="3">
        <v>80000</v>
      </c>
      <c r="E332">
        <v>0</v>
      </c>
      <c r="F332" t="s">
        <v>13</v>
      </c>
      <c r="G332" t="s">
        <v>21</v>
      </c>
      <c r="H332" t="s">
        <v>15</v>
      </c>
      <c r="I332">
        <v>3</v>
      </c>
      <c r="J332" t="s">
        <v>45</v>
      </c>
      <c r="K332" t="s">
        <v>24</v>
      </c>
      <c r="L332">
        <v>32</v>
      </c>
      <c r="M332" t="str">
        <f t="shared" si="5"/>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 age</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39</v>
      </c>
      <c r="D357" s="3">
        <v>80000</v>
      </c>
      <c r="E357">
        <v>0</v>
      </c>
      <c r="F357" t="s">
        <v>13</v>
      </c>
      <c r="G357" t="s">
        <v>21</v>
      </c>
      <c r="H357" t="s">
        <v>15</v>
      </c>
      <c r="I357">
        <v>3</v>
      </c>
      <c r="J357" t="s">
        <v>45</v>
      </c>
      <c r="K357" t="s">
        <v>24</v>
      </c>
      <c r="L357">
        <v>32</v>
      </c>
      <c r="M357" t="str">
        <f t="shared" si="5"/>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 age</v>
      </c>
      <c r="N360" t="s">
        <v>15</v>
      </c>
    </row>
    <row r="361" spans="1:14" x14ac:dyDescent="0.35">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 age</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 age</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38</v>
      </c>
      <c r="D372" s="3">
        <v>100000</v>
      </c>
      <c r="E372">
        <v>4</v>
      </c>
      <c r="F372" t="s">
        <v>13</v>
      </c>
      <c r="G372" t="s">
        <v>21</v>
      </c>
      <c r="H372" t="s">
        <v>15</v>
      </c>
      <c r="I372">
        <v>1</v>
      </c>
      <c r="J372" t="s">
        <v>45</v>
      </c>
      <c r="K372" t="s">
        <v>24</v>
      </c>
      <c r="L372">
        <v>46</v>
      </c>
      <c r="M372" t="str">
        <f t="shared" si="5"/>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 age</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 age</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 age</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 age</v>
      </c>
      <c r="N383" t="s">
        <v>18</v>
      </c>
    </row>
    <row r="384" spans="1:14" x14ac:dyDescent="0.35">
      <c r="A384">
        <v>13586</v>
      </c>
      <c r="B384" t="s">
        <v>36</v>
      </c>
      <c r="C384" t="s">
        <v>39</v>
      </c>
      <c r="D384" s="3">
        <v>80000</v>
      </c>
      <c r="E384">
        <v>4</v>
      </c>
      <c r="F384" t="s">
        <v>19</v>
      </c>
      <c r="G384" t="s">
        <v>21</v>
      </c>
      <c r="H384" t="s">
        <v>15</v>
      </c>
      <c r="I384">
        <v>2</v>
      </c>
      <c r="J384" t="s">
        <v>45</v>
      </c>
      <c r="K384" t="s">
        <v>17</v>
      </c>
      <c r="L384">
        <v>53</v>
      </c>
      <c r="M384" t="str">
        <f t="shared" si="5"/>
        <v>Middle Aged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 age",IF(L387&gt;=31,"Middle Aged",IF(L387&lt;31,"Adolescent","Invalid")))</f>
        <v>Middle Aged</v>
      </c>
      <c r="N387" t="s">
        <v>18</v>
      </c>
    </row>
    <row r="388" spans="1:14" x14ac:dyDescent="0.35">
      <c r="A388">
        <v>28957</v>
      </c>
      <c r="B388" t="s">
        <v>37</v>
      </c>
      <c r="C388" t="s">
        <v>38</v>
      </c>
      <c r="D388" s="3">
        <v>120000</v>
      </c>
      <c r="E388">
        <v>0</v>
      </c>
      <c r="F388" t="s">
        <v>29</v>
      </c>
      <c r="G388" t="s">
        <v>21</v>
      </c>
      <c r="H388" t="s">
        <v>15</v>
      </c>
      <c r="I388">
        <v>4</v>
      </c>
      <c r="J388" t="s">
        <v>45</v>
      </c>
      <c r="K388" t="s">
        <v>24</v>
      </c>
      <c r="L388">
        <v>34</v>
      </c>
      <c r="M388" t="str">
        <f t="shared" si="6"/>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 age</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 age</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38</v>
      </c>
      <c r="D402" s="3">
        <v>110000</v>
      </c>
      <c r="E402">
        <v>3</v>
      </c>
      <c r="F402" t="s">
        <v>13</v>
      </c>
      <c r="G402" t="s">
        <v>28</v>
      </c>
      <c r="H402" t="s">
        <v>15</v>
      </c>
      <c r="I402">
        <v>4</v>
      </c>
      <c r="J402" t="s">
        <v>45</v>
      </c>
      <c r="K402" t="s">
        <v>17</v>
      </c>
      <c r="L402">
        <v>53</v>
      </c>
      <c r="M402" t="str">
        <f t="shared" si="6"/>
        <v>Middle Aged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 age</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 age</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 age</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38</v>
      </c>
      <c r="D422" s="3">
        <v>100000</v>
      </c>
      <c r="E422">
        <v>2</v>
      </c>
      <c r="F422" t="s">
        <v>13</v>
      </c>
      <c r="G422" t="s">
        <v>28</v>
      </c>
      <c r="H422" t="s">
        <v>15</v>
      </c>
      <c r="I422">
        <v>4</v>
      </c>
      <c r="J422" t="s">
        <v>45</v>
      </c>
      <c r="K422" t="s">
        <v>17</v>
      </c>
      <c r="L422">
        <v>59</v>
      </c>
      <c r="M422" t="str">
        <f t="shared" si="6"/>
        <v>Old age</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39</v>
      </c>
      <c r="D424" s="3">
        <v>110000</v>
      </c>
      <c r="E424">
        <v>0</v>
      </c>
      <c r="F424" t="s">
        <v>19</v>
      </c>
      <c r="G424" t="s">
        <v>28</v>
      </c>
      <c r="H424" t="s">
        <v>18</v>
      </c>
      <c r="I424">
        <v>3</v>
      </c>
      <c r="J424" t="s">
        <v>45</v>
      </c>
      <c r="K424" t="s">
        <v>24</v>
      </c>
      <c r="L424">
        <v>32</v>
      </c>
      <c r="M424" t="str">
        <f t="shared" si="6"/>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 age</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 age</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45</v>
      </c>
      <c r="K434" t="s">
        <v>24</v>
      </c>
      <c r="L434">
        <v>34</v>
      </c>
      <c r="M434" t="str">
        <f t="shared" si="6"/>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 age</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39</v>
      </c>
      <c r="D442" s="3">
        <v>90000</v>
      </c>
      <c r="E442">
        <v>0</v>
      </c>
      <c r="F442" t="s">
        <v>13</v>
      </c>
      <c r="G442" t="s">
        <v>21</v>
      </c>
      <c r="H442" t="s">
        <v>18</v>
      </c>
      <c r="I442">
        <v>3</v>
      </c>
      <c r="J442" t="s">
        <v>45</v>
      </c>
      <c r="K442" t="s">
        <v>24</v>
      </c>
      <c r="L442">
        <v>34</v>
      </c>
      <c r="M442" t="str">
        <f t="shared" si="6"/>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38</v>
      </c>
      <c r="D448" s="3">
        <v>130000</v>
      </c>
      <c r="E448">
        <v>0</v>
      </c>
      <c r="F448" t="s">
        <v>31</v>
      </c>
      <c r="G448" t="s">
        <v>28</v>
      </c>
      <c r="H448" t="s">
        <v>15</v>
      </c>
      <c r="I448">
        <v>1</v>
      </c>
      <c r="J448" t="s">
        <v>45</v>
      </c>
      <c r="K448" t="s">
        <v>24</v>
      </c>
      <c r="L448">
        <v>48</v>
      </c>
      <c r="M448" t="str">
        <f t="shared" si="6"/>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 age",IF(L451&gt;=31,"Middle Aged",IF(L451&lt;31,"Adolescent","Invalid")))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 age</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 age</v>
      </c>
      <c r="N459" t="s">
        <v>18</v>
      </c>
    </row>
    <row r="460" spans="1:14" x14ac:dyDescent="0.35">
      <c r="A460">
        <v>21560</v>
      </c>
      <c r="B460" t="s">
        <v>36</v>
      </c>
      <c r="C460" t="s">
        <v>39</v>
      </c>
      <c r="D460" s="3">
        <v>120000</v>
      </c>
      <c r="E460">
        <v>0</v>
      </c>
      <c r="F460" t="s">
        <v>29</v>
      </c>
      <c r="G460" t="s">
        <v>21</v>
      </c>
      <c r="H460" t="s">
        <v>15</v>
      </c>
      <c r="I460">
        <v>4</v>
      </c>
      <c r="J460" t="s">
        <v>45</v>
      </c>
      <c r="K460" t="s">
        <v>24</v>
      </c>
      <c r="L460">
        <v>32</v>
      </c>
      <c r="M460" t="str">
        <f t="shared" si="7"/>
        <v>Middle Aged</v>
      </c>
      <c r="N460" t="s">
        <v>15</v>
      </c>
    </row>
    <row r="461" spans="1:14" x14ac:dyDescent="0.35">
      <c r="A461">
        <v>21554</v>
      </c>
      <c r="B461" t="s">
        <v>37</v>
      </c>
      <c r="C461" t="s">
        <v>38</v>
      </c>
      <c r="D461" s="3">
        <v>80000</v>
      </c>
      <c r="E461">
        <v>0</v>
      </c>
      <c r="F461" t="s">
        <v>13</v>
      </c>
      <c r="G461" t="s">
        <v>21</v>
      </c>
      <c r="H461" t="s">
        <v>18</v>
      </c>
      <c r="I461">
        <v>3</v>
      </c>
      <c r="J461" t="s">
        <v>45</v>
      </c>
      <c r="K461" t="s">
        <v>24</v>
      </c>
      <c r="L461">
        <v>33</v>
      </c>
      <c r="M461" t="str">
        <f t="shared" si="7"/>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 age</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 age</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 age</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 age</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38</v>
      </c>
      <c r="D488" s="3">
        <v>90000</v>
      </c>
      <c r="E488">
        <v>4</v>
      </c>
      <c r="F488" t="s">
        <v>29</v>
      </c>
      <c r="G488" t="s">
        <v>14</v>
      </c>
      <c r="H488" t="s">
        <v>15</v>
      </c>
      <c r="I488">
        <v>4</v>
      </c>
      <c r="J488" t="s">
        <v>45</v>
      </c>
      <c r="K488" t="s">
        <v>17</v>
      </c>
      <c r="L488">
        <v>58</v>
      </c>
      <c r="M488" t="str">
        <f t="shared" si="7"/>
        <v>Old age</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39</v>
      </c>
      <c r="D495" s="3">
        <v>70000</v>
      </c>
      <c r="E495">
        <v>5</v>
      </c>
      <c r="F495" t="s">
        <v>13</v>
      </c>
      <c r="G495" t="s">
        <v>28</v>
      </c>
      <c r="H495" t="s">
        <v>15</v>
      </c>
      <c r="I495">
        <v>3</v>
      </c>
      <c r="J495" t="s">
        <v>45</v>
      </c>
      <c r="K495" t="s">
        <v>32</v>
      </c>
      <c r="L495">
        <v>60</v>
      </c>
      <c r="M495" t="str">
        <f t="shared" si="7"/>
        <v>Old age</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39</v>
      </c>
      <c r="D497" s="3">
        <v>60000</v>
      </c>
      <c r="E497">
        <v>2</v>
      </c>
      <c r="F497" t="s">
        <v>19</v>
      </c>
      <c r="G497" t="s">
        <v>21</v>
      </c>
      <c r="H497" t="s">
        <v>15</v>
      </c>
      <c r="I497">
        <v>2</v>
      </c>
      <c r="J497" t="s">
        <v>45</v>
      </c>
      <c r="K497" t="s">
        <v>32</v>
      </c>
      <c r="L497">
        <v>56</v>
      </c>
      <c r="M497" t="str">
        <f t="shared" si="7"/>
        <v>Old age</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 age</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38</v>
      </c>
      <c r="D515" s="3">
        <v>60000</v>
      </c>
      <c r="E515">
        <v>4</v>
      </c>
      <c r="F515" t="s">
        <v>31</v>
      </c>
      <c r="G515" t="s">
        <v>28</v>
      </c>
      <c r="H515" t="s">
        <v>15</v>
      </c>
      <c r="I515">
        <v>2</v>
      </c>
      <c r="J515" t="s">
        <v>45</v>
      </c>
      <c r="K515" t="s">
        <v>32</v>
      </c>
      <c r="L515">
        <v>61</v>
      </c>
      <c r="M515" t="str">
        <f t="shared" ref="M515:M578" si="8">IF(L515&gt;54,"Old age",IF(L515&gt;=31,"Middle Aged",IF(L515&lt;31,"Adolescent","Invalid")))</f>
        <v>Old age</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 age</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39</v>
      </c>
      <c r="D523" s="3">
        <v>40000</v>
      </c>
      <c r="E523">
        <v>4</v>
      </c>
      <c r="F523" t="s">
        <v>27</v>
      </c>
      <c r="G523" t="s">
        <v>21</v>
      </c>
      <c r="H523" t="s">
        <v>15</v>
      </c>
      <c r="I523">
        <v>2</v>
      </c>
      <c r="J523" t="s">
        <v>45</v>
      </c>
      <c r="K523" t="s">
        <v>32</v>
      </c>
      <c r="L523">
        <v>62</v>
      </c>
      <c r="M523" t="str">
        <f t="shared" si="8"/>
        <v>Old age</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 age</v>
      </c>
      <c r="N526" t="s">
        <v>18</v>
      </c>
    </row>
    <row r="527" spans="1:14" x14ac:dyDescent="0.35">
      <c r="A527">
        <v>16791</v>
      </c>
      <c r="B527" t="s">
        <v>37</v>
      </c>
      <c r="C527" t="s">
        <v>39</v>
      </c>
      <c r="D527" s="3">
        <v>60000</v>
      </c>
      <c r="E527">
        <v>5</v>
      </c>
      <c r="F527" t="s">
        <v>13</v>
      </c>
      <c r="G527" t="s">
        <v>28</v>
      </c>
      <c r="H527" t="s">
        <v>15</v>
      </c>
      <c r="I527">
        <v>3</v>
      </c>
      <c r="J527" t="s">
        <v>45</v>
      </c>
      <c r="K527" t="s">
        <v>32</v>
      </c>
      <c r="L527">
        <v>59</v>
      </c>
      <c r="M527" t="str">
        <f t="shared" si="8"/>
        <v>Old age</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45</v>
      </c>
      <c r="K531" t="s">
        <v>32</v>
      </c>
      <c r="L531">
        <v>57</v>
      </c>
      <c r="M531" t="str">
        <f t="shared" si="8"/>
        <v>Old age</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39</v>
      </c>
      <c r="D535" s="3">
        <v>60000</v>
      </c>
      <c r="E535">
        <v>3</v>
      </c>
      <c r="F535" t="s">
        <v>13</v>
      </c>
      <c r="G535" t="s">
        <v>28</v>
      </c>
      <c r="H535" t="s">
        <v>15</v>
      </c>
      <c r="I535">
        <v>2</v>
      </c>
      <c r="J535" t="s">
        <v>45</v>
      </c>
      <c r="K535" t="s">
        <v>32</v>
      </c>
      <c r="L535">
        <v>66</v>
      </c>
      <c r="M535" t="str">
        <f t="shared" si="8"/>
        <v>Old age</v>
      </c>
      <c r="N535" t="s">
        <v>18</v>
      </c>
    </row>
    <row r="536" spans="1:14" x14ac:dyDescent="0.35">
      <c r="A536">
        <v>24637</v>
      </c>
      <c r="B536" t="s">
        <v>36</v>
      </c>
      <c r="C536" t="s">
        <v>39</v>
      </c>
      <c r="D536" s="3">
        <v>40000</v>
      </c>
      <c r="E536">
        <v>4</v>
      </c>
      <c r="F536" t="s">
        <v>27</v>
      </c>
      <c r="G536" t="s">
        <v>21</v>
      </c>
      <c r="H536" t="s">
        <v>15</v>
      </c>
      <c r="I536">
        <v>2</v>
      </c>
      <c r="J536" t="s">
        <v>45</v>
      </c>
      <c r="K536" t="s">
        <v>32</v>
      </c>
      <c r="L536">
        <v>64</v>
      </c>
      <c r="M536" t="str">
        <f t="shared" si="8"/>
        <v>Old age</v>
      </c>
      <c r="N536" t="s">
        <v>18</v>
      </c>
    </row>
    <row r="537" spans="1:14" x14ac:dyDescent="0.35">
      <c r="A537">
        <v>23893</v>
      </c>
      <c r="B537" t="s">
        <v>36</v>
      </c>
      <c r="C537" t="s">
        <v>39</v>
      </c>
      <c r="D537" s="3">
        <v>50000</v>
      </c>
      <c r="E537">
        <v>3</v>
      </c>
      <c r="F537" t="s">
        <v>13</v>
      </c>
      <c r="G537" t="s">
        <v>14</v>
      </c>
      <c r="H537" t="s">
        <v>15</v>
      </c>
      <c r="I537">
        <v>3</v>
      </c>
      <c r="J537" t="s">
        <v>45</v>
      </c>
      <c r="K537" t="s">
        <v>32</v>
      </c>
      <c r="L537">
        <v>41</v>
      </c>
      <c r="M537" t="str">
        <f t="shared" si="8"/>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 age</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38</v>
      </c>
      <c r="D553" s="3">
        <v>50000</v>
      </c>
      <c r="E553">
        <v>4</v>
      </c>
      <c r="F553" t="s">
        <v>13</v>
      </c>
      <c r="G553" t="s">
        <v>28</v>
      </c>
      <c r="H553" t="s">
        <v>15</v>
      </c>
      <c r="I553">
        <v>2</v>
      </c>
      <c r="J553" t="s">
        <v>45</v>
      </c>
      <c r="K553" t="s">
        <v>32</v>
      </c>
      <c r="L553">
        <v>63</v>
      </c>
      <c r="M553" t="str">
        <f t="shared" si="8"/>
        <v>Old age</v>
      </c>
      <c r="N553" t="s">
        <v>18</v>
      </c>
    </row>
    <row r="554" spans="1:14" x14ac:dyDescent="0.35">
      <c r="A554">
        <v>14417</v>
      </c>
      <c r="B554" t="s">
        <v>37</v>
      </c>
      <c r="C554" t="s">
        <v>39</v>
      </c>
      <c r="D554" s="3">
        <v>60000</v>
      </c>
      <c r="E554">
        <v>3</v>
      </c>
      <c r="F554" t="s">
        <v>27</v>
      </c>
      <c r="G554" t="s">
        <v>21</v>
      </c>
      <c r="H554" t="s">
        <v>15</v>
      </c>
      <c r="I554">
        <v>2</v>
      </c>
      <c r="J554" t="s">
        <v>45</v>
      </c>
      <c r="K554" t="s">
        <v>32</v>
      </c>
      <c r="L554">
        <v>54</v>
      </c>
      <c r="M554" t="str">
        <f t="shared" si="8"/>
        <v>Middle Aged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 age</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38</v>
      </c>
      <c r="D561" s="3">
        <v>60000</v>
      </c>
      <c r="E561">
        <v>2</v>
      </c>
      <c r="F561" t="s">
        <v>13</v>
      </c>
      <c r="G561" t="s">
        <v>28</v>
      </c>
      <c r="H561" t="s">
        <v>15</v>
      </c>
      <c r="I561">
        <v>0</v>
      </c>
      <c r="J561" t="s">
        <v>45</v>
      </c>
      <c r="K561" t="s">
        <v>32</v>
      </c>
      <c r="L561">
        <v>58</v>
      </c>
      <c r="M561" t="str">
        <f t="shared" si="8"/>
        <v>Old age</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 age</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39</v>
      </c>
      <c r="D571" s="3">
        <v>50000</v>
      </c>
      <c r="E571">
        <v>3</v>
      </c>
      <c r="F571" t="s">
        <v>31</v>
      </c>
      <c r="G571" t="s">
        <v>28</v>
      </c>
      <c r="H571" t="s">
        <v>15</v>
      </c>
      <c r="I571">
        <v>2</v>
      </c>
      <c r="J571" t="s">
        <v>45</v>
      </c>
      <c r="K571" t="s">
        <v>32</v>
      </c>
      <c r="L571">
        <v>69</v>
      </c>
      <c r="M571" t="str">
        <f t="shared" si="8"/>
        <v>Old age</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 age</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 age</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39</v>
      </c>
      <c r="D577" s="3">
        <v>60000</v>
      </c>
      <c r="E577">
        <v>2</v>
      </c>
      <c r="F577" t="s">
        <v>19</v>
      </c>
      <c r="G577" t="s">
        <v>21</v>
      </c>
      <c r="H577" t="s">
        <v>15</v>
      </c>
      <c r="I577">
        <v>1</v>
      </c>
      <c r="J577" t="s">
        <v>45</v>
      </c>
      <c r="K577" t="s">
        <v>32</v>
      </c>
      <c r="L577">
        <v>56</v>
      </c>
      <c r="M577" t="str">
        <f t="shared" si="8"/>
        <v>Old age</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 age",IF(L579&gt;=31,"Middle Aged",IF(L579&lt;31,"Adolescent","Invalid")))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 age</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38</v>
      </c>
      <c r="D582" s="3">
        <v>60000</v>
      </c>
      <c r="E582">
        <v>3</v>
      </c>
      <c r="F582" t="s">
        <v>31</v>
      </c>
      <c r="G582" t="s">
        <v>28</v>
      </c>
      <c r="H582" t="s">
        <v>15</v>
      </c>
      <c r="I582">
        <v>2</v>
      </c>
      <c r="J582" t="s">
        <v>45</v>
      </c>
      <c r="K582" t="s">
        <v>32</v>
      </c>
      <c r="L582">
        <v>69</v>
      </c>
      <c r="M582" t="str">
        <f t="shared" si="9"/>
        <v>Old age</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39</v>
      </c>
      <c r="D585" s="3">
        <v>60000</v>
      </c>
      <c r="E585">
        <v>3</v>
      </c>
      <c r="F585" t="s">
        <v>13</v>
      </c>
      <c r="G585" t="s">
        <v>28</v>
      </c>
      <c r="H585" t="s">
        <v>15</v>
      </c>
      <c r="I585">
        <v>2</v>
      </c>
      <c r="J585" t="s">
        <v>45</v>
      </c>
      <c r="K585" t="s">
        <v>32</v>
      </c>
      <c r="L585">
        <v>66</v>
      </c>
      <c r="M585" t="str">
        <f t="shared" si="9"/>
        <v>Old age</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38</v>
      </c>
      <c r="D590" s="3">
        <v>90000</v>
      </c>
      <c r="E590">
        <v>2</v>
      </c>
      <c r="F590" t="s">
        <v>27</v>
      </c>
      <c r="G590" t="s">
        <v>21</v>
      </c>
      <c r="H590" t="s">
        <v>15</v>
      </c>
      <c r="I590">
        <v>1</v>
      </c>
      <c r="J590" t="s">
        <v>45</v>
      </c>
      <c r="K590" t="s">
        <v>32</v>
      </c>
      <c r="L590">
        <v>51</v>
      </c>
      <c r="M590" t="str">
        <f t="shared" si="9"/>
        <v>Middle Aged</v>
      </c>
      <c r="N590" t="s">
        <v>15</v>
      </c>
    </row>
    <row r="591" spans="1:14" x14ac:dyDescent="0.35">
      <c r="A591">
        <v>12100</v>
      </c>
      <c r="B591" t="s">
        <v>37</v>
      </c>
      <c r="C591" t="s">
        <v>39</v>
      </c>
      <c r="D591" s="3">
        <v>60000</v>
      </c>
      <c r="E591">
        <v>2</v>
      </c>
      <c r="F591" t="s">
        <v>13</v>
      </c>
      <c r="G591" t="s">
        <v>28</v>
      </c>
      <c r="H591" t="s">
        <v>15</v>
      </c>
      <c r="I591">
        <v>0</v>
      </c>
      <c r="J591" t="s">
        <v>45</v>
      </c>
      <c r="K591" t="s">
        <v>32</v>
      </c>
      <c r="L591">
        <v>57</v>
      </c>
      <c r="M591" t="str">
        <f t="shared" si="9"/>
        <v>Old age</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39</v>
      </c>
      <c r="D593" s="3">
        <v>40000</v>
      </c>
      <c r="E593">
        <v>4</v>
      </c>
      <c r="F593" t="s">
        <v>27</v>
      </c>
      <c r="G593" t="s">
        <v>21</v>
      </c>
      <c r="H593" t="s">
        <v>18</v>
      </c>
      <c r="I593">
        <v>2</v>
      </c>
      <c r="J593" t="s">
        <v>45</v>
      </c>
      <c r="K593" t="s">
        <v>32</v>
      </c>
      <c r="L593">
        <v>61</v>
      </c>
      <c r="M593" t="str">
        <f t="shared" si="9"/>
        <v>Old age</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 age</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 age</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 age</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 age</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38</v>
      </c>
      <c r="D609" s="3">
        <v>70000</v>
      </c>
      <c r="E609">
        <v>5</v>
      </c>
      <c r="F609" t="s">
        <v>31</v>
      </c>
      <c r="G609" t="s">
        <v>21</v>
      </c>
      <c r="H609" t="s">
        <v>15</v>
      </c>
      <c r="I609">
        <v>3</v>
      </c>
      <c r="J609" t="s">
        <v>45</v>
      </c>
      <c r="K609" t="s">
        <v>32</v>
      </c>
      <c r="L609">
        <v>46</v>
      </c>
      <c r="M609" t="str">
        <f t="shared" si="9"/>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 age</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 age</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 age</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 age</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 age</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 age</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 age</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 age</v>
      </c>
      <c r="N642" t="s">
        <v>15</v>
      </c>
    </row>
    <row r="643" spans="1:14" x14ac:dyDescent="0.35">
      <c r="A643">
        <v>21441</v>
      </c>
      <c r="B643" t="s">
        <v>36</v>
      </c>
      <c r="C643" t="s">
        <v>39</v>
      </c>
      <c r="D643" s="3">
        <v>50000</v>
      </c>
      <c r="E643">
        <v>4</v>
      </c>
      <c r="F643" t="s">
        <v>13</v>
      </c>
      <c r="G643" t="s">
        <v>28</v>
      </c>
      <c r="H643" t="s">
        <v>15</v>
      </c>
      <c r="I643">
        <v>2</v>
      </c>
      <c r="J643" t="s">
        <v>45</v>
      </c>
      <c r="K643" t="s">
        <v>32</v>
      </c>
      <c r="L643">
        <v>64</v>
      </c>
      <c r="M643" t="str">
        <f t="shared" ref="M643:M706" si="10">IF(L643&gt;54,"Old age",IF(L643&gt;=31,"Middle Aged",IF(L643&lt;31,"Adolescent","Invalid")))</f>
        <v>Old age</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38</v>
      </c>
      <c r="D646" s="3">
        <v>60000</v>
      </c>
      <c r="E646">
        <v>5</v>
      </c>
      <c r="F646" t="s">
        <v>13</v>
      </c>
      <c r="G646" t="s">
        <v>14</v>
      </c>
      <c r="H646" t="s">
        <v>15</v>
      </c>
      <c r="I646">
        <v>3</v>
      </c>
      <c r="J646" t="s">
        <v>45</v>
      </c>
      <c r="K646" t="s">
        <v>32</v>
      </c>
      <c r="L646">
        <v>41</v>
      </c>
      <c r="M646" t="str">
        <f t="shared" si="10"/>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 age</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38</v>
      </c>
      <c r="D652" s="3">
        <v>70000</v>
      </c>
      <c r="E652">
        <v>5</v>
      </c>
      <c r="F652" t="s">
        <v>31</v>
      </c>
      <c r="G652" t="s">
        <v>28</v>
      </c>
      <c r="H652" t="s">
        <v>15</v>
      </c>
      <c r="I652">
        <v>2</v>
      </c>
      <c r="J652" t="s">
        <v>45</v>
      </c>
      <c r="K652" t="s">
        <v>32</v>
      </c>
      <c r="L652">
        <v>67</v>
      </c>
      <c r="M652" t="str">
        <f t="shared" si="10"/>
        <v>Old age</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38</v>
      </c>
      <c r="D661" s="3">
        <v>60000</v>
      </c>
      <c r="E661">
        <v>4</v>
      </c>
      <c r="F661" t="s">
        <v>13</v>
      </c>
      <c r="G661" t="s">
        <v>28</v>
      </c>
      <c r="H661" t="s">
        <v>15</v>
      </c>
      <c r="I661">
        <v>2</v>
      </c>
      <c r="J661" t="s">
        <v>45</v>
      </c>
      <c r="K661" t="s">
        <v>32</v>
      </c>
      <c r="L661">
        <v>63</v>
      </c>
      <c r="M661" t="str">
        <f t="shared" si="10"/>
        <v>Old age</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38</v>
      </c>
      <c r="D669" s="3">
        <v>40000</v>
      </c>
      <c r="E669">
        <v>5</v>
      </c>
      <c r="F669" t="s">
        <v>27</v>
      </c>
      <c r="G669" t="s">
        <v>21</v>
      </c>
      <c r="H669" t="s">
        <v>18</v>
      </c>
      <c r="I669">
        <v>2</v>
      </c>
      <c r="J669" t="s">
        <v>45</v>
      </c>
      <c r="K669" t="s">
        <v>32</v>
      </c>
      <c r="L669">
        <v>61</v>
      </c>
      <c r="M669" t="str">
        <f t="shared" si="10"/>
        <v>Old age</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39</v>
      </c>
      <c r="D672" s="3">
        <v>70000</v>
      </c>
      <c r="E672">
        <v>2</v>
      </c>
      <c r="F672" t="s">
        <v>19</v>
      </c>
      <c r="G672" t="s">
        <v>21</v>
      </c>
      <c r="H672" t="s">
        <v>15</v>
      </c>
      <c r="I672">
        <v>1</v>
      </c>
      <c r="J672" t="s">
        <v>45</v>
      </c>
      <c r="K672" t="s">
        <v>32</v>
      </c>
      <c r="L672">
        <v>59</v>
      </c>
      <c r="M672" t="str">
        <f t="shared" si="10"/>
        <v>Old age</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 age</v>
      </c>
      <c r="N680" t="s">
        <v>18</v>
      </c>
    </row>
    <row r="681" spans="1:14" x14ac:dyDescent="0.35">
      <c r="A681">
        <v>21770</v>
      </c>
      <c r="B681" t="s">
        <v>36</v>
      </c>
      <c r="C681" t="s">
        <v>39</v>
      </c>
      <c r="D681" s="3">
        <v>60000</v>
      </c>
      <c r="E681">
        <v>4</v>
      </c>
      <c r="F681" t="s">
        <v>13</v>
      </c>
      <c r="G681" t="s">
        <v>28</v>
      </c>
      <c r="H681" t="s">
        <v>15</v>
      </c>
      <c r="I681">
        <v>2</v>
      </c>
      <c r="J681" t="s">
        <v>45</v>
      </c>
      <c r="K681" t="s">
        <v>32</v>
      </c>
      <c r="L681">
        <v>60</v>
      </c>
      <c r="M681" t="str">
        <f t="shared" si="10"/>
        <v>Old age</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 age</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38</v>
      </c>
      <c r="D707" s="3">
        <v>70000</v>
      </c>
      <c r="E707">
        <v>4</v>
      </c>
      <c r="F707" t="s">
        <v>13</v>
      </c>
      <c r="G707" t="s">
        <v>28</v>
      </c>
      <c r="H707" t="s">
        <v>15</v>
      </c>
      <c r="I707">
        <v>1</v>
      </c>
      <c r="J707" t="s">
        <v>45</v>
      </c>
      <c r="K707" t="s">
        <v>32</v>
      </c>
      <c r="L707">
        <v>59</v>
      </c>
      <c r="M707" t="str">
        <f t="shared" ref="M707:M770" si="11">IF(L707&gt;54,"Old age",IF(L707&gt;=31,"Middle Aged",IF(L707&lt;31,"Adolescent","Invalid")))</f>
        <v>Old age</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39</v>
      </c>
      <c r="D710" s="3">
        <v>70000</v>
      </c>
      <c r="E710">
        <v>5</v>
      </c>
      <c r="F710" t="s">
        <v>13</v>
      </c>
      <c r="G710" t="s">
        <v>28</v>
      </c>
      <c r="H710" t="s">
        <v>15</v>
      </c>
      <c r="I710">
        <v>4</v>
      </c>
      <c r="J710" t="s">
        <v>45</v>
      </c>
      <c r="K710" t="s">
        <v>32</v>
      </c>
      <c r="L710">
        <v>60</v>
      </c>
      <c r="M710" t="str">
        <f t="shared" si="11"/>
        <v>Old age</v>
      </c>
      <c r="N710" t="s">
        <v>18</v>
      </c>
    </row>
    <row r="711" spans="1:14" x14ac:dyDescent="0.35">
      <c r="A711">
        <v>23712</v>
      </c>
      <c r="B711" t="s">
        <v>37</v>
      </c>
      <c r="C711" t="s">
        <v>38</v>
      </c>
      <c r="D711" s="3">
        <v>70000</v>
      </c>
      <c r="E711">
        <v>2</v>
      </c>
      <c r="F711" t="s">
        <v>13</v>
      </c>
      <c r="G711" t="s">
        <v>28</v>
      </c>
      <c r="H711" t="s">
        <v>15</v>
      </c>
      <c r="I711">
        <v>1</v>
      </c>
      <c r="J711" t="s">
        <v>45</v>
      </c>
      <c r="K711" t="s">
        <v>32</v>
      </c>
      <c r="L711">
        <v>59</v>
      </c>
      <c r="M711" t="str">
        <f t="shared" si="11"/>
        <v>Old age</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38</v>
      </c>
      <c r="D713" s="3">
        <v>70000</v>
      </c>
      <c r="E713">
        <v>2</v>
      </c>
      <c r="F713" t="s">
        <v>19</v>
      </c>
      <c r="G713" t="s">
        <v>21</v>
      </c>
      <c r="H713" t="s">
        <v>15</v>
      </c>
      <c r="I713">
        <v>1</v>
      </c>
      <c r="J713" t="s">
        <v>45</v>
      </c>
      <c r="K713" t="s">
        <v>32</v>
      </c>
      <c r="L713">
        <v>58</v>
      </c>
      <c r="M713" t="str">
        <f t="shared" si="11"/>
        <v>Old age</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 age</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 age</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38</v>
      </c>
      <c r="D741" s="3">
        <v>60000</v>
      </c>
      <c r="E741">
        <v>2</v>
      </c>
      <c r="F741" t="s">
        <v>19</v>
      </c>
      <c r="G741" t="s">
        <v>21</v>
      </c>
      <c r="H741" t="s">
        <v>15</v>
      </c>
      <c r="I741">
        <v>1</v>
      </c>
      <c r="J741" t="s">
        <v>45</v>
      </c>
      <c r="K741" t="s">
        <v>32</v>
      </c>
      <c r="L741">
        <v>55</v>
      </c>
      <c r="M741" t="str">
        <f t="shared" si="11"/>
        <v>Old age</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38</v>
      </c>
      <c r="D746" s="3">
        <v>70000</v>
      </c>
      <c r="E746">
        <v>4</v>
      </c>
      <c r="F746" t="s">
        <v>19</v>
      </c>
      <c r="G746" t="s">
        <v>21</v>
      </c>
      <c r="H746" t="s">
        <v>15</v>
      </c>
      <c r="I746">
        <v>1</v>
      </c>
      <c r="J746" t="s">
        <v>45</v>
      </c>
      <c r="K746" t="s">
        <v>32</v>
      </c>
      <c r="L746">
        <v>56</v>
      </c>
      <c r="M746" t="str">
        <f t="shared" si="11"/>
        <v>Old age</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38</v>
      </c>
      <c r="D748" s="3">
        <v>60000</v>
      </c>
      <c r="E748">
        <v>2</v>
      </c>
      <c r="F748" t="s">
        <v>13</v>
      </c>
      <c r="G748" t="s">
        <v>28</v>
      </c>
      <c r="H748" t="s">
        <v>15</v>
      </c>
      <c r="I748">
        <v>0</v>
      </c>
      <c r="J748" t="s">
        <v>45</v>
      </c>
      <c r="K748" t="s">
        <v>32</v>
      </c>
      <c r="L748">
        <v>56</v>
      </c>
      <c r="M748" t="str">
        <f t="shared" si="11"/>
        <v>Old age</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 age</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 age</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 age</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38</v>
      </c>
      <c r="D763" s="3">
        <v>60000</v>
      </c>
      <c r="E763">
        <v>5</v>
      </c>
      <c r="F763" t="s">
        <v>13</v>
      </c>
      <c r="G763" t="s">
        <v>28</v>
      </c>
      <c r="H763" t="s">
        <v>15</v>
      </c>
      <c r="I763">
        <v>3</v>
      </c>
      <c r="J763" t="s">
        <v>45</v>
      </c>
      <c r="K763" t="s">
        <v>32</v>
      </c>
      <c r="L763">
        <v>59</v>
      </c>
      <c r="M763" t="str">
        <f t="shared" si="11"/>
        <v>Old age</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39</v>
      </c>
      <c r="D768" s="3">
        <v>50000</v>
      </c>
      <c r="E768">
        <v>4</v>
      </c>
      <c r="F768" t="s">
        <v>13</v>
      </c>
      <c r="G768" t="s">
        <v>14</v>
      </c>
      <c r="H768" t="s">
        <v>15</v>
      </c>
      <c r="I768">
        <v>3</v>
      </c>
      <c r="J768" t="s">
        <v>45</v>
      </c>
      <c r="K768" t="s">
        <v>32</v>
      </c>
      <c r="L768">
        <v>42</v>
      </c>
      <c r="M768" t="str">
        <f t="shared" si="11"/>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 age</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 age",IF(L771&gt;=31,"Middle Aged",IF(L771&lt;31,"Adolescent","Invalid")))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 age</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39</v>
      </c>
      <c r="D777" s="3">
        <v>70000</v>
      </c>
      <c r="E777">
        <v>2</v>
      </c>
      <c r="F777" t="s">
        <v>29</v>
      </c>
      <c r="G777" t="s">
        <v>14</v>
      </c>
      <c r="H777" t="s">
        <v>15</v>
      </c>
      <c r="I777">
        <v>2</v>
      </c>
      <c r="J777" t="s">
        <v>45</v>
      </c>
      <c r="K777" t="s">
        <v>32</v>
      </c>
      <c r="L777">
        <v>54</v>
      </c>
      <c r="M777" t="str">
        <f t="shared" si="12"/>
        <v>Middle Aged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 age</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38</v>
      </c>
      <c r="D782" s="3">
        <v>60000</v>
      </c>
      <c r="E782">
        <v>2</v>
      </c>
      <c r="F782" t="s">
        <v>19</v>
      </c>
      <c r="G782" t="s">
        <v>21</v>
      </c>
      <c r="H782" t="s">
        <v>15</v>
      </c>
      <c r="I782">
        <v>1</v>
      </c>
      <c r="J782" t="s">
        <v>45</v>
      </c>
      <c r="K782" t="s">
        <v>32</v>
      </c>
      <c r="L782">
        <v>55</v>
      </c>
      <c r="M782" t="str">
        <f t="shared" si="12"/>
        <v>Old age</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 age</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 age</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 age</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 age</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 age</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38</v>
      </c>
      <c r="D814" s="3">
        <v>70000</v>
      </c>
      <c r="E814">
        <v>4</v>
      </c>
      <c r="F814" t="s">
        <v>13</v>
      </c>
      <c r="G814" t="s">
        <v>28</v>
      </c>
      <c r="H814" t="s">
        <v>15</v>
      </c>
      <c r="I814">
        <v>2</v>
      </c>
      <c r="J814" t="s">
        <v>45</v>
      </c>
      <c r="K814" t="s">
        <v>32</v>
      </c>
      <c r="L814">
        <v>61</v>
      </c>
      <c r="M814" t="str">
        <f t="shared" si="12"/>
        <v>Old age</v>
      </c>
      <c r="N814" t="s">
        <v>18</v>
      </c>
    </row>
    <row r="815" spans="1:14" x14ac:dyDescent="0.35">
      <c r="A815">
        <v>25899</v>
      </c>
      <c r="B815" t="s">
        <v>36</v>
      </c>
      <c r="C815" t="s">
        <v>38</v>
      </c>
      <c r="D815" s="3">
        <v>70000</v>
      </c>
      <c r="E815">
        <v>2</v>
      </c>
      <c r="F815" t="s">
        <v>27</v>
      </c>
      <c r="G815" t="s">
        <v>21</v>
      </c>
      <c r="H815" t="s">
        <v>15</v>
      </c>
      <c r="I815">
        <v>2</v>
      </c>
      <c r="J815" t="s">
        <v>45</v>
      </c>
      <c r="K815" t="s">
        <v>32</v>
      </c>
      <c r="L815">
        <v>53</v>
      </c>
      <c r="M815" t="str">
        <f t="shared" si="12"/>
        <v>Middle Aged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 age</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 age</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 age",IF(L835&gt;=31,"Middle Aged",IF(L835&lt;31,"Adolescent","Invalid")))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39</v>
      </c>
      <c r="D842" s="3">
        <v>70000</v>
      </c>
      <c r="E842">
        <v>4</v>
      </c>
      <c r="F842" t="s">
        <v>19</v>
      </c>
      <c r="G842" t="s">
        <v>21</v>
      </c>
      <c r="H842" t="s">
        <v>15</v>
      </c>
      <c r="I842">
        <v>2</v>
      </c>
      <c r="J842" t="s">
        <v>45</v>
      </c>
      <c r="K842" t="s">
        <v>32</v>
      </c>
      <c r="L842">
        <v>53</v>
      </c>
      <c r="M842" t="str">
        <f t="shared" si="13"/>
        <v>Middle Aged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 age</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38</v>
      </c>
      <c r="D846" s="3">
        <v>40000</v>
      </c>
      <c r="E846">
        <v>5</v>
      </c>
      <c r="F846" t="s">
        <v>27</v>
      </c>
      <c r="G846" t="s">
        <v>21</v>
      </c>
      <c r="H846" t="s">
        <v>15</v>
      </c>
      <c r="I846">
        <v>2</v>
      </c>
      <c r="J846" t="s">
        <v>45</v>
      </c>
      <c r="K846" t="s">
        <v>32</v>
      </c>
      <c r="L846">
        <v>60</v>
      </c>
      <c r="M846" t="str">
        <f t="shared" si="13"/>
        <v>Old age</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 age</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 age</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 age</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39</v>
      </c>
      <c r="D868" s="3">
        <v>60000</v>
      </c>
      <c r="E868">
        <v>2</v>
      </c>
      <c r="F868" t="s">
        <v>27</v>
      </c>
      <c r="G868" t="s">
        <v>21</v>
      </c>
      <c r="H868" t="s">
        <v>15</v>
      </c>
      <c r="I868">
        <v>2</v>
      </c>
      <c r="J868" t="s">
        <v>45</v>
      </c>
      <c r="K868" t="s">
        <v>32</v>
      </c>
      <c r="L868">
        <v>55</v>
      </c>
      <c r="M868" t="str">
        <f t="shared" si="13"/>
        <v>Old age</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39</v>
      </c>
      <c r="D870" s="3">
        <v>30000</v>
      </c>
      <c r="E870">
        <v>5</v>
      </c>
      <c r="F870" t="s">
        <v>29</v>
      </c>
      <c r="G870" t="s">
        <v>14</v>
      </c>
      <c r="H870" t="s">
        <v>15</v>
      </c>
      <c r="I870">
        <v>3</v>
      </c>
      <c r="J870" t="s">
        <v>45</v>
      </c>
      <c r="K870" t="s">
        <v>32</v>
      </c>
      <c r="L870">
        <v>60</v>
      </c>
      <c r="M870" t="str">
        <f t="shared" si="13"/>
        <v>Old age</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39</v>
      </c>
      <c r="D873" s="3">
        <v>60000</v>
      </c>
      <c r="E873">
        <v>2</v>
      </c>
      <c r="F873" t="s">
        <v>27</v>
      </c>
      <c r="G873" t="s">
        <v>21</v>
      </c>
      <c r="H873" t="s">
        <v>15</v>
      </c>
      <c r="I873">
        <v>2</v>
      </c>
      <c r="J873" t="s">
        <v>45</v>
      </c>
      <c r="K873" t="s">
        <v>32</v>
      </c>
      <c r="L873">
        <v>55</v>
      </c>
      <c r="M873" t="str">
        <f t="shared" si="13"/>
        <v>Old age</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 age</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 age</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 age</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 age</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 age</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 age</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 age",IF(L899&gt;=31,"Middle Aged",IF(L899&lt;31,"Adolescent","Invalid")))</f>
        <v>Adolescent</v>
      </c>
      <c r="N899" t="s">
        <v>18</v>
      </c>
    </row>
    <row r="900" spans="1:14" x14ac:dyDescent="0.35">
      <c r="A900">
        <v>18066</v>
      </c>
      <c r="B900" t="s">
        <v>37</v>
      </c>
      <c r="C900" t="s">
        <v>39</v>
      </c>
      <c r="D900" s="3">
        <v>70000</v>
      </c>
      <c r="E900">
        <v>5</v>
      </c>
      <c r="F900" t="s">
        <v>13</v>
      </c>
      <c r="G900" t="s">
        <v>28</v>
      </c>
      <c r="H900" t="s">
        <v>15</v>
      </c>
      <c r="I900">
        <v>3</v>
      </c>
      <c r="J900" t="s">
        <v>45</v>
      </c>
      <c r="K900" t="s">
        <v>32</v>
      </c>
      <c r="L900">
        <v>60</v>
      </c>
      <c r="M900" t="str">
        <f t="shared" si="14"/>
        <v>Old age</v>
      </c>
      <c r="N900" t="s">
        <v>15</v>
      </c>
    </row>
    <row r="901" spans="1:14" x14ac:dyDescent="0.35">
      <c r="A901">
        <v>28192</v>
      </c>
      <c r="B901" t="s">
        <v>36</v>
      </c>
      <c r="C901" t="s">
        <v>38</v>
      </c>
      <c r="D901" s="3">
        <v>70000</v>
      </c>
      <c r="E901">
        <v>5</v>
      </c>
      <c r="F901" t="s">
        <v>31</v>
      </c>
      <c r="G901" t="s">
        <v>21</v>
      </c>
      <c r="H901" t="s">
        <v>15</v>
      </c>
      <c r="I901">
        <v>3</v>
      </c>
      <c r="J901" t="s">
        <v>45</v>
      </c>
      <c r="K901" t="s">
        <v>32</v>
      </c>
      <c r="L901">
        <v>46</v>
      </c>
      <c r="M901" t="str">
        <f t="shared" si="14"/>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 age</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39</v>
      </c>
      <c r="D909" s="3">
        <v>50000</v>
      </c>
      <c r="E909">
        <v>4</v>
      </c>
      <c r="F909" t="s">
        <v>13</v>
      </c>
      <c r="G909" t="s">
        <v>28</v>
      </c>
      <c r="H909" t="s">
        <v>15</v>
      </c>
      <c r="I909">
        <v>2</v>
      </c>
      <c r="J909" t="s">
        <v>45</v>
      </c>
      <c r="K909" t="s">
        <v>32</v>
      </c>
      <c r="L909">
        <v>63</v>
      </c>
      <c r="M909" t="str">
        <f t="shared" si="14"/>
        <v>Old age</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 age</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39</v>
      </c>
      <c r="D917" s="3">
        <v>60000</v>
      </c>
      <c r="E917">
        <v>3</v>
      </c>
      <c r="F917" t="s">
        <v>31</v>
      </c>
      <c r="G917" t="s">
        <v>28</v>
      </c>
      <c r="H917" t="s">
        <v>15</v>
      </c>
      <c r="I917">
        <v>2</v>
      </c>
      <c r="J917" t="s">
        <v>45</v>
      </c>
      <c r="K917" t="s">
        <v>32</v>
      </c>
      <c r="L917">
        <v>64</v>
      </c>
      <c r="M917" t="str">
        <f t="shared" si="14"/>
        <v>Old age</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38</v>
      </c>
      <c r="D921" s="3">
        <v>40000</v>
      </c>
      <c r="E921">
        <v>4</v>
      </c>
      <c r="F921" t="s">
        <v>27</v>
      </c>
      <c r="G921" t="s">
        <v>21</v>
      </c>
      <c r="H921" t="s">
        <v>15</v>
      </c>
      <c r="I921">
        <v>2</v>
      </c>
      <c r="J921" t="s">
        <v>45</v>
      </c>
      <c r="K921" t="s">
        <v>32</v>
      </c>
      <c r="L921">
        <v>61</v>
      </c>
      <c r="M921" t="str">
        <f t="shared" si="14"/>
        <v>Old age</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38</v>
      </c>
      <c r="D928" s="3">
        <v>40000</v>
      </c>
      <c r="E928">
        <v>2</v>
      </c>
      <c r="F928" t="s">
        <v>27</v>
      </c>
      <c r="G928" t="s">
        <v>21</v>
      </c>
      <c r="H928" t="s">
        <v>15</v>
      </c>
      <c r="I928">
        <v>2</v>
      </c>
      <c r="J928" t="s">
        <v>45</v>
      </c>
      <c r="K928" t="s">
        <v>32</v>
      </c>
      <c r="L928">
        <v>57</v>
      </c>
      <c r="M928" t="str">
        <f t="shared" si="14"/>
        <v>Old age</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39</v>
      </c>
      <c r="D932" s="3">
        <v>70000</v>
      </c>
      <c r="E932">
        <v>5</v>
      </c>
      <c r="F932" t="s">
        <v>31</v>
      </c>
      <c r="G932" t="s">
        <v>21</v>
      </c>
      <c r="H932" t="s">
        <v>18</v>
      </c>
      <c r="I932">
        <v>3</v>
      </c>
      <c r="J932" t="s">
        <v>45</v>
      </c>
      <c r="K932" t="s">
        <v>32</v>
      </c>
      <c r="L932">
        <v>47</v>
      </c>
      <c r="M932" t="str">
        <f t="shared" si="14"/>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 age</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 age</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 age</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39</v>
      </c>
      <c r="D951" s="3">
        <v>70000</v>
      </c>
      <c r="E951">
        <v>2</v>
      </c>
      <c r="F951" t="s">
        <v>29</v>
      </c>
      <c r="G951" t="s">
        <v>14</v>
      </c>
      <c r="H951" t="s">
        <v>15</v>
      </c>
      <c r="I951">
        <v>2</v>
      </c>
      <c r="J951" t="s">
        <v>45</v>
      </c>
      <c r="K951" t="s">
        <v>32</v>
      </c>
      <c r="L951">
        <v>53</v>
      </c>
      <c r="M951" t="str">
        <f t="shared" si="14"/>
        <v>Middle Aged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 age</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 age",IF(L963&gt;=31,"Middle Aged",IF(L963&lt;31,"Adolescent","Invalid")))</f>
        <v>Old age</v>
      </c>
      <c r="N963" t="s">
        <v>18</v>
      </c>
    </row>
    <row r="964" spans="1:14" x14ac:dyDescent="0.35">
      <c r="A964">
        <v>16813</v>
      </c>
      <c r="B964" t="s">
        <v>36</v>
      </c>
      <c r="C964" t="s">
        <v>39</v>
      </c>
      <c r="D964" s="3">
        <v>60000</v>
      </c>
      <c r="E964">
        <v>2</v>
      </c>
      <c r="F964" t="s">
        <v>19</v>
      </c>
      <c r="G964" t="s">
        <v>21</v>
      </c>
      <c r="H964" t="s">
        <v>15</v>
      </c>
      <c r="I964">
        <v>2</v>
      </c>
      <c r="J964" t="s">
        <v>45</v>
      </c>
      <c r="K964" t="s">
        <v>32</v>
      </c>
      <c r="L964">
        <v>55</v>
      </c>
      <c r="M964" t="str">
        <f t="shared" si="15"/>
        <v>Old age</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 age</v>
      </c>
      <c r="N965" t="s">
        <v>15</v>
      </c>
    </row>
    <row r="966" spans="1:14" x14ac:dyDescent="0.35">
      <c r="A966">
        <v>27434</v>
      </c>
      <c r="B966" t="s">
        <v>37</v>
      </c>
      <c r="C966" t="s">
        <v>39</v>
      </c>
      <c r="D966" s="3">
        <v>70000</v>
      </c>
      <c r="E966">
        <v>4</v>
      </c>
      <c r="F966" t="s">
        <v>19</v>
      </c>
      <c r="G966" t="s">
        <v>21</v>
      </c>
      <c r="H966" t="s">
        <v>15</v>
      </c>
      <c r="I966">
        <v>1</v>
      </c>
      <c r="J966" t="s">
        <v>45</v>
      </c>
      <c r="K966" t="s">
        <v>32</v>
      </c>
      <c r="L966">
        <v>56</v>
      </c>
      <c r="M966" t="str">
        <f t="shared" si="15"/>
        <v>Old age</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 age</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38</v>
      </c>
      <c r="D978" s="3">
        <v>60000</v>
      </c>
      <c r="E978">
        <v>3</v>
      </c>
      <c r="F978" t="s">
        <v>13</v>
      </c>
      <c r="G978" t="s">
        <v>28</v>
      </c>
      <c r="H978" t="s">
        <v>15</v>
      </c>
      <c r="I978">
        <v>2</v>
      </c>
      <c r="J978" t="s">
        <v>45</v>
      </c>
      <c r="K978" t="s">
        <v>32</v>
      </c>
      <c r="L978">
        <v>66</v>
      </c>
      <c r="M978" t="str">
        <f t="shared" si="15"/>
        <v>Old age</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 age</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38</v>
      </c>
      <c r="D982" s="3">
        <v>80000</v>
      </c>
      <c r="E982">
        <v>3</v>
      </c>
      <c r="F982" t="s">
        <v>13</v>
      </c>
      <c r="G982" t="s">
        <v>14</v>
      </c>
      <c r="H982" t="s">
        <v>15</v>
      </c>
      <c r="I982">
        <v>3</v>
      </c>
      <c r="J982" t="s">
        <v>45</v>
      </c>
      <c r="K982" t="s">
        <v>32</v>
      </c>
      <c r="L982">
        <v>40</v>
      </c>
      <c r="M982" t="str">
        <f t="shared" si="15"/>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39</v>
      </c>
      <c r="D988" s="3">
        <v>40000</v>
      </c>
      <c r="E988">
        <v>5</v>
      </c>
      <c r="F988" t="s">
        <v>27</v>
      </c>
      <c r="G988" t="s">
        <v>21</v>
      </c>
      <c r="H988" t="s">
        <v>15</v>
      </c>
      <c r="I988">
        <v>4</v>
      </c>
      <c r="J988" t="s">
        <v>45</v>
      </c>
      <c r="K988" t="s">
        <v>32</v>
      </c>
      <c r="L988">
        <v>60</v>
      </c>
      <c r="M988" t="str">
        <f t="shared" si="15"/>
        <v>Old age</v>
      </c>
      <c r="N988" t="s">
        <v>15</v>
      </c>
    </row>
    <row r="989" spans="1:14" x14ac:dyDescent="0.35">
      <c r="A989">
        <v>28972</v>
      </c>
      <c r="B989" t="s">
        <v>37</v>
      </c>
      <c r="C989" t="s">
        <v>38</v>
      </c>
      <c r="D989" s="3">
        <v>60000</v>
      </c>
      <c r="E989">
        <v>3</v>
      </c>
      <c r="F989" t="s">
        <v>31</v>
      </c>
      <c r="G989" t="s">
        <v>28</v>
      </c>
      <c r="H989" t="s">
        <v>15</v>
      </c>
      <c r="I989">
        <v>2</v>
      </c>
      <c r="J989" t="s">
        <v>45</v>
      </c>
      <c r="K989" t="s">
        <v>32</v>
      </c>
      <c r="L989">
        <v>66</v>
      </c>
      <c r="M989" t="str">
        <f t="shared" si="15"/>
        <v>Old age</v>
      </c>
      <c r="N989" t="s">
        <v>18</v>
      </c>
    </row>
    <row r="990" spans="1:14" x14ac:dyDescent="0.35">
      <c r="A990">
        <v>22730</v>
      </c>
      <c r="B990" t="s">
        <v>36</v>
      </c>
      <c r="C990" t="s">
        <v>39</v>
      </c>
      <c r="D990" s="3">
        <v>70000</v>
      </c>
      <c r="E990">
        <v>5</v>
      </c>
      <c r="F990" t="s">
        <v>13</v>
      </c>
      <c r="G990" t="s">
        <v>28</v>
      </c>
      <c r="H990" t="s">
        <v>15</v>
      </c>
      <c r="I990">
        <v>2</v>
      </c>
      <c r="J990" t="s">
        <v>45</v>
      </c>
      <c r="K990" t="s">
        <v>32</v>
      </c>
      <c r="L990">
        <v>63</v>
      </c>
      <c r="M990" t="str">
        <f t="shared" si="15"/>
        <v>Old age</v>
      </c>
      <c r="N990" t="s">
        <v>18</v>
      </c>
    </row>
    <row r="991" spans="1:14" x14ac:dyDescent="0.35">
      <c r="A991">
        <v>29134</v>
      </c>
      <c r="B991" t="s">
        <v>36</v>
      </c>
      <c r="C991" t="s">
        <v>39</v>
      </c>
      <c r="D991" s="3">
        <v>60000</v>
      </c>
      <c r="E991">
        <v>4</v>
      </c>
      <c r="F991" t="s">
        <v>13</v>
      </c>
      <c r="G991" t="s">
        <v>14</v>
      </c>
      <c r="H991" t="s">
        <v>18</v>
      </c>
      <c r="I991">
        <v>3</v>
      </c>
      <c r="J991" t="s">
        <v>45</v>
      </c>
      <c r="K991" t="s">
        <v>32</v>
      </c>
      <c r="L991">
        <v>42</v>
      </c>
      <c r="M991" t="str">
        <f t="shared" si="15"/>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39</v>
      </c>
      <c r="D1001" s="3">
        <v>60000</v>
      </c>
      <c r="E1001">
        <v>3</v>
      </c>
      <c r="F1001" t="s">
        <v>27</v>
      </c>
      <c r="G1001" t="s">
        <v>21</v>
      </c>
      <c r="H1001" t="s">
        <v>15</v>
      </c>
      <c r="I1001">
        <v>2</v>
      </c>
      <c r="J1001" t="s">
        <v>45</v>
      </c>
      <c r="K1001" t="s">
        <v>32</v>
      </c>
      <c r="L1001">
        <v>53</v>
      </c>
      <c r="M1001" t="str">
        <f t="shared" si="15"/>
        <v>Middle Aged</v>
      </c>
      <c r="N1001" t="s">
        <v>15</v>
      </c>
    </row>
  </sheetData>
  <autoFilter ref="A1:N1001" xr:uid="{CB86A7EF-EE82-416D-905B-5ADFCF553F1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28135-2628-4043-80D6-F6CBC78547CC}">
  <dimension ref="A1:D39"/>
  <sheetViews>
    <sheetView zoomScale="38" workbookViewId="0">
      <selection activeCell="N43" sqref="N43"/>
    </sheetView>
  </sheetViews>
  <sheetFormatPr defaultRowHeight="14.5" x14ac:dyDescent="0.35"/>
  <cols>
    <col min="1" max="1" width="29.54296875" bestFit="1" customWidth="1"/>
    <col min="2" max="2" width="23.81640625" bestFit="1" customWidth="1"/>
    <col min="3" max="3" width="6.08984375" bestFit="1" customWidth="1"/>
    <col min="4" max="4" width="14.90625" bestFit="1" customWidth="1"/>
  </cols>
  <sheetData>
    <row r="1" spans="1:4" x14ac:dyDescent="0.35">
      <c r="A1" s="4" t="s">
        <v>43</v>
      </c>
      <c r="B1" s="4" t="s">
        <v>44</v>
      </c>
    </row>
    <row r="2" spans="1:4" x14ac:dyDescent="0.35">
      <c r="A2" s="4" t="s">
        <v>41</v>
      </c>
      <c r="B2" t="s">
        <v>18</v>
      </c>
      <c r="C2" t="s">
        <v>15</v>
      </c>
      <c r="D2" t="s">
        <v>42</v>
      </c>
    </row>
    <row r="3" spans="1:4" x14ac:dyDescent="0.35">
      <c r="A3" s="5" t="s">
        <v>38</v>
      </c>
      <c r="B3" s="6">
        <v>43333.333333333336</v>
      </c>
      <c r="C3" s="6">
        <v>70000</v>
      </c>
      <c r="D3" s="6">
        <v>46000</v>
      </c>
    </row>
    <row r="4" spans="1:4" x14ac:dyDescent="0.35">
      <c r="A4" s="5" t="s">
        <v>39</v>
      </c>
      <c r="B4" s="6">
        <v>45000</v>
      </c>
      <c r="C4" s="6">
        <v>45000</v>
      </c>
      <c r="D4" s="6">
        <v>45000</v>
      </c>
    </row>
    <row r="5" spans="1:4" x14ac:dyDescent="0.35">
      <c r="A5" s="5" t="s">
        <v>42</v>
      </c>
      <c r="B5" s="6">
        <v>44000</v>
      </c>
      <c r="C5" s="6">
        <v>53333.333333333336</v>
      </c>
      <c r="D5" s="6">
        <v>45555.555555555555</v>
      </c>
    </row>
    <row r="19" spans="1:4" x14ac:dyDescent="0.35">
      <c r="A19" s="4" t="s">
        <v>46</v>
      </c>
      <c r="B19" s="4" t="s">
        <v>44</v>
      </c>
    </row>
    <row r="20" spans="1:4" x14ac:dyDescent="0.35">
      <c r="A20" s="4" t="s">
        <v>41</v>
      </c>
      <c r="B20" t="s">
        <v>18</v>
      </c>
      <c r="C20" t="s">
        <v>15</v>
      </c>
      <c r="D20" t="s">
        <v>42</v>
      </c>
    </row>
    <row r="21" spans="1:4" x14ac:dyDescent="0.35">
      <c r="A21" s="5" t="s">
        <v>16</v>
      </c>
      <c r="B21" s="7">
        <v>3</v>
      </c>
      <c r="C21" s="7"/>
      <c r="D21" s="7">
        <v>3</v>
      </c>
    </row>
    <row r="22" spans="1:4" x14ac:dyDescent="0.35">
      <c r="A22" s="5" t="s">
        <v>26</v>
      </c>
      <c r="B22" s="7">
        <v>6</v>
      </c>
      <c r="C22" s="7"/>
      <c r="D22" s="7">
        <v>6</v>
      </c>
    </row>
    <row r="23" spans="1:4" x14ac:dyDescent="0.35">
      <c r="A23" s="5" t="s">
        <v>22</v>
      </c>
      <c r="B23" s="7"/>
      <c r="C23" s="7">
        <v>1</v>
      </c>
      <c r="D23" s="7">
        <v>1</v>
      </c>
    </row>
    <row r="24" spans="1:4" x14ac:dyDescent="0.35">
      <c r="A24" s="5" t="s">
        <v>23</v>
      </c>
      <c r="B24" s="7">
        <v>6</v>
      </c>
      <c r="C24" s="7">
        <v>1</v>
      </c>
      <c r="D24" s="7">
        <v>7</v>
      </c>
    </row>
    <row r="25" spans="1:4" x14ac:dyDescent="0.35">
      <c r="A25" s="5" t="s">
        <v>45</v>
      </c>
      <c r="B25" s="7"/>
      <c r="C25" s="7">
        <v>1</v>
      </c>
      <c r="D25" s="7">
        <v>1</v>
      </c>
    </row>
    <row r="26" spans="1:4" x14ac:dyDescent="0.35">
      <c r="A26" s="5" t="s">
        <v>42</v>
      </c>
      <c r="B26" s="7">
        <v>15</v>
      </c>
      <c r="C26" s="7">
        <v>3</v>
      </c>
      <c r="D26" s="7">
        <v>18</v>
      </c>
    </row>
    <row r="34" spans="1:4" x14ac:dyDescent="0.35">
      <c r="A34" s="4" t="s">
        <v>46</v>
      </c>
      <c r="B34" s="4" t="s">
        <v>44</v>
      </c>
    </row>
    <row r="35" spans="1:4" x14ac:dyDescent="0.35">
      <c r="A35" s="4" t="s">
        <v>41</v>
      </c>
      <c r="B35" t="s">
        <v>18</v>
      </c>
      <c r="C35" t="s">
        <v>15</v>
      </c>
      <c r="D35" t="s">
        <v>42</v>
      </c>
    </row>
    <row r="36" spans="1:4" x14ac:dyDescent="0.35">
      <c r="A36" s="5" t="s">
        <v>47</v>
      </c>
      <c r="B36" s="7">
        <v>6</v>
      </c>
      <c r="C36" s="7"/>
      <c r="D36" s="7">
        <v>6</v>
      </c>
    </row>
    <row r="37" spans="1:4" x14ac:dyDescent="0.35">
      <c r="A37" s="5" t="s">
        <v>48</v>
      </c>
      <c r="B37" s="7">
        <v>9</v>
      </c>
      <c r="C37" s="7">
        <v>2</v>
      </c>
      <c r="D37" s="7">
        <v>11</v>
      </c>
    </row>
    <row r="38" spans="1:4" x14ac:dyDescent="0.35">
      <c r="A38" s="5" t="s">
        <v>49</v>
      </c>
      <c r="B38" s="7"/>
      <c r="C38" s="7">
        <v>1</v>
      </c>
      <c r="D38" s="7">
        <v>1</v>
      </c>
    </row>
    <row r="39" spans="1:4" x14ac:dyDescent="0.35">
      <c r="A39" s="5" t="s">
        <v>42</v>
      </c>
      <c r="B39" s="7">
        <v>15</v>
      </c>
      <c r="C39" s="7">
        <v>3</v>
      </c>
      <c r="D39" s="7">
        <v>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FCE8-A184-4AB8-A90B-93A73028DEBF}">
  <dimension ref="A1:P6"/>
  <sheetViews>
    <sheetView showGridLines="0" tabSelected="1" zoomScale="61" zoomScaleNormal="61" workbookViewId="0">
      <selection activeCell="S5" sqref="S5"/>
    </sheetView>
  </sheetViews>
  <sheetFormatPr defaultRowHeight="14.5" x14ac:dyDescent="0.35"/>
  <sheetData>
    <row r="1" spans="1:16" x14ac:dyDescent="0.35">
      <c r="A1" s="8" t="s">
        <v>50</v>
      </c>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x14ac:dyDescent="0.35">
      <c r="A5" s="9"/>
      <c r="B5" s="9"/>
      <c r="C5" s="9"/>
      <c r="D5" s="9"/>
      <c r="E5" s="9"/>
      <c r="F5" s="9"/>
      <c r="G5" s="9"/>
      <c r="H5" s="9"/>
      <c r="I5" s="9"/>
      <c r="J5" s="9"/>
      <c r="K5" s="9"/>
      <c r="L5" s="9"/>
      <c r="M5" s="9"/>
      <c r="N5" s="9"/>
      <c r="O5" s="9"/>
      <c r="P5" s="9"/>
    </row>
    <row r="6" spans="1:16" x14ac:dyDescent="0.35">
      <c r="A6" s="9"/>
      <c r="B6" s="9"/>
      <c r="C6" s="9"/>
      <c r="D6" s="9"/>
      <c r="E6" s="9"/>
      <c r="F6" s="9"/>
      <c r="G6" s="9"/>
      <c r="H6" s="9"/>
      <c r="I6" s="9"/>
      <c r="J6" s="9"/>
      <c r="K6" s="9"/>
      <c r="L6" s="9"/>
      <c r="M6" s="9"/>
      <c r="N6" s="9"/>
      <c r="O6" s="9"/>
      <c r="P6" s="9"/>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Shukla</dc:creator>
  <cp:lastModifiedBy>Prerna Shukla</cp:lastModifiedBy>
  <dcterms:created xsi:type="dcterms:W3CDTF">2022-03-18T02:50:57Z</dcterms:created>
  <dcterms:modified xsi:type="dcterms:W3CDTF">2026-10-20T19:10:00Z</dcterms:modified>
</cp:coreProperties>
</file>